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Trabajos\Observatorio de Políticas Públicas\Boletín 1\"/>
    </mc:Choice>
  </mc:AlternateContent>
  <xr:revisionPtr revIDLastSave="0" documentId="13_ncr:1_{B01CB23C-848F-412E-BF24-E704BF5B01B2}" xr6:coauthVersionLast="47" xr6:coauthVersionMax="47" xr10:uidLastSave="{00000000-0000-0000-0000-000000000000}"/>
  <bookViews>
    <workbookView xWindow="-108" yWindow="-108" windowWidth="23256" windowHeight="13896" activeTab="3" xr2:uid="{433398B9-F597-4DCC-949B-4E33E3B1D3C6}"/>
  </bookViews>
  <sheets>
    <sheet name="Gini Nac" sheetId="1" r:id="rId1"/>
    <sheet name="Gini_Urb" sheetId="2" r:id="rId2"/>
    <sheet name="Gini_rur" sheetId="3" r:id="rId3"/>
    <sheet name="Brechas salariales" sheetId="6" r:id="rId4"/>
    <sheet name="Crecimiento por deciles" sheetId="8" r:id="rId5"/>
    <sheet name="Gini_ALC" sheetId="9" r:id="rId6"/>
    <sheet name="PIB_Gini" sheetId="11" r:id="rId7"/>
    <sheet name="Impuesto a la renta" sheetId="17" r:id="rId8"/>
    <sheet name="WID_ingreso" sheetId="13" r:id="rId9"/>
    <sheet name="WID_ingreso_ALC" sheetId="15" r:id="rId10"/>
    <sheet name="WID_riqueza" sheetId="14" r:id="rId11"/>
    <sheet name="WID_riqueza_ALC" sheetId="16" r:id="rId12"/>
    <sheet name="Palma_ALC" sheetId="12" r:id="rId13"/>
    <sheet name="ENDI" sheetId="4" r:id="rId14"/>
    <sheet name="Descomposición Keynesiana" sheetId="10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7" l="1"/>
  <c r="C26" i="17"/>
  <c r="E25" i="17"/>
  <c r="C25" i="17"/>
  <c r="E24" i="17"/>
  <c r="C24" i="17"/>
  <c r="E23" i="17"/>
  <c r="C23" i="17"/>
  <c r="E22" i="17"/>
  <c r="C22" i="17"/>
  <c r="E21" i="17"/>
  <c r="C21" i="17"/>
  <c r="E20" i="17"/>
  <c r="C20" i="17"/>
  <c r="E19" i="17"/>
  <c r="C19" i="17"/>
  <c r="E18" i="17"/>
  <c r="C18" i="17"/>
  <c r="E17" i="17"/>
  <c r="C17" i="17"/>
  <c r="I46" i="10"/>
  <c r="I47" i="10" s="1"/>
  <c r="H46" i="10"/>
  <c r="H47" i="10" s="1"/>
  <c r="G46" i="10"/>
  <c r="G47" i="10" s="1"/>
  <c r="J47" i="10" s="1"/>
  <c r="F46" i="10"/>
  <c r="F47" i="10" s="1"/>
  <c r="I37" i="10"/>
  <c r="H37" i="10"/>
  <c r="G37" i="10"/>
  <c r="I36" i="10"/>
  <c r="J36" i="10" s="1"/>
  <c r="H36" i="10"/>
  <c r="G36" i="10"/>
  <c r="F36" i="10"/>
  <c r="F37" i="10" s="1"/>
  <c r="I28" i="10"/>
  <c r="H28" i="10"/>
  <c r="G28" i="10"/>
  <c r="J28" i="10" s="1"/>
  <c r="F28" i="10"/>
  <c r="J27" i="10"/>
  <c r="I27" i="10"/>
  <c r="H27" i="10"/>
  <c r="G27" i="10"/>
  <c r="F27" i="10"/>
  <c r="F20" i="10"/>
  <c r="I19" i="10"/>
  <c r="I20" i="10" s="1"/>
  <c r="H19" i="10"/>
  <c r="H20" i="10" s="1"/>
  <c r="G19" i="10"/>
  <c r="G20" i="10" s="1"/>
  <c r="F19" i="10"/>
  <c r="I11" i="10"/>
  <c r="I12" i="10" s="1"/>
  <c r="H11" i="10"/>
  <c r="H12" i="10" s="1"/>
  <c r="G11" i="10"/>
  <c r="G12" i="10" s="1"/>
  <c r="F11" i="10"/>
  <c r="F12" i="10" s="1"/>
  <c r="I5" i="10"/>
  <c r="H5" i="10"/>
  <c r="I3" i="10"/>
  <c r="J3" i="10" s="1"/>
  <c r="H3" i="10"/>
  <c r="G3" i="10"/>
  <c r="G5" i="10" s="1"/>
  <c r="F3" i="10"/>
  <c r="F5" i="10" s="1"/>
  <c r="N19" i="6"/>
  <c r="N20" i="6"/>
  <c r="N21" i="6"/>
  <c r="N22" i="6"/>
  <c r="N23" i="6"/>
  <c r="N24" i="6"/>
  <c r="N25" i="6"/>
  <c r="N26" i="6"/>
  <c r="N27" i="6"/>
  <c r="N28" i="6"/>
  <c r="N29" i="6"/>
  <c r="N18" i="6"/>
  <c r="M19" i="6"/>
  <c r="M20" i="6"/>
  <c r="M21" i="6"/>
  <c r="M22" i="6"/>
  <c r="M23" i="6"/>
  <c r="M24" i="6"/>
  <c r="M25" i="6"/>
  <c r="M26" i="6"/>
  <c r="M27" i="6"/>
  <c r="M28" i="6"/>
  <c r="M29" i="6"/>
  <c r="M18" i="6"/>
  <c r="L19" i="6"/>
  <c r="L20" i="6"/>
  <c r="L21" i="6"/>
  <c r="L22" i="6"/>
  <c r="L23" i="6"/>
  <c r="L24" i="6"/>
  <c r="L25" i="6"/>
  <c r="L26" i="6"/>
  <c r="L27" i="6"/>
  <c r="L28" i="6"/>
  <c r="L29" i="6"/>
  <c r="L18" i="6"/>
  <c r="N49" i="6"/>
  <c r="N50" i="6"/>
  <c r="N51" i="6"/>
  <c r="N52" i="6"/>
  <c r="N53" i="6"/>
  <c r="N54" i="6"/>
  <c r="N55" i="6"/>
  <c r="N56" i="6"/>
  <c r="N57" i="6"/>
  <c r="N58" i="6"/>
  <c r="N59" i="6"/>
  <c r="N48" i="6"/>
  <c r="M49" i="6"/>
  <c r="M50" i="6"/>
  <c r="M51" i="6"/>
  <c r="M52" i="6"/>
  <c r="M53" i="6"/>
  <c r="M54" i="6"/>
  <c r="M55" i="6"/>
  <c r="M56" i="6"/>
  <c r="M57" i="6"/>
  <c r="M58" i="6"/>
  <c r="M59" i="6"/>
  <c r="M48" i="6"/>
  <c r="L49" i="6"/>
  <c r="L50" i="6"/>
  <c r="L51" i="6"/>
  <c r="L52" i="6"/>
  <c r="L53" i="6"/>
  <c r="L54" i="6"/>
  <c r="L55" i="6"/>
  <c r="L56" i="6"/>
  <c r="L57" i="6"/>
  <c r="L58" i="6"/>
  <c r="L59" i="6"/>
  <c r="L48" i="6"/>
  <c r="N34" i="6"/>
  <c r="N35" i="6"/>
  <c r="N36" i="6"/>
  <c r="N37" i="6"/>
  <c r="N38" i="6"/>
  <c r="N39" i="6"/>
  <c r="N40" i="6"/>
  <c r="N41" i="6"/>
  <c r="N42" i="6"/>
  <c r="N43" i="6"/>
  <c r="N44" i="6"/>
  <c r="N33" i="6"/>
  <c r="M34" i="6"/>
  <c r="M35" i="6"/>
  <c r="M36" i="6"/>
  <c r="M37" i="6"/>
  <c r="M38" i="6"/>
  <c r="M39" i="6"/>
  <c r="M40" i="6"/>
  <c r="M41" i="6"/>
  <c r="M42" i="6"/>
  <c r="M43" i="6"/>
  <c r="M44" i="6"/>
  <c r="M33" i="6"/>
  <c r="L34" i="6"/>
  <c r="L35" i="6"/>
  <c r="L36" i="6"/>
  <c r="L37" i="6"/>
  <c r="L38" i="6"/>
  <c r="L39" i="6"/>
  <c r="L40" i="6"/>
  <c r="L41" i="6"/>
  <c r="L42" i="6"/>
  <c r="L43" i="6"/>
  <c r="L44" i="6"/>
  <c r="L33" i="6"/>
  <c r="N4" i="6"/>
  <c r="N5" i="6"/>
  <c r="N6" i="6"/>
  <c r="N7" i="6"/>
  <c r="N8" i="6"/>
  <c r="N9" i="6"/>
  <c r="N10" i="6"/>
  <c r="N11" i="6"/>
  <c r="N12" i="6"/>
  <c r="N13" i="6"/>
  <c r="N14" i="6"/>
  <c r="N3" i="6"/>
  <c r="M4" i="6"/>
  <c r="M5" i="6"/>
  <c r="M6" i="6"/>
  <c r="M7" i="6"/>
  <c r="M8" i="6"/>
  <c r="M9" i="6"/>
  <c r="M10" i="6"/>
  <c r="M11" i="6"/>
  <c r="M12" i="6"/>
  <c r="M13" i="6"/>
  <c r="M14" i="6"/>
  <c r="M3" i="6"/>
  <c r="L4" i="6"/>
  <c r="L5" i="6"/>
  <c r="L6" i="6"/>
  <c r="L7" i="6"/>
  <c r="L8" i="6"/>
  <c r="L9" i="6"/>
  <c r="L10" i="6"/>
  <c r="L11" i="6"/>
  <c r="L12" i="6"/>
  <c r="L13" i="6"/>
  <c r="L14" i="6"/>
  <c r="L3" i="6"/>
  <c r="T46" i="11"/>
  <c r="R46" i="11"/>
  <c r="T45" i="11"/>
  <c r="R45" i="11"/>
  <c r="J45" i="11"/>
  <c r="T44" i="11"/>
  <c r="R44" i="11"/>
  <c r="J44" i="11"/>
  <c r="T43" i="11"/>
  <c r="R43" i="11"/>
  <c r="J43" i="11"/>
  <c r="T42" i="11"/>
  <c r="R42" i="11" s="1"/>
  <c r="J42" i="11"/>
  <c r="T41" i="11"/>
  <c r="R41" i="11"/>
  <c r="J41" i="11"/>
  <c r="T40" i="11"/>
  <c r="R40" i="11"/>
  <c r="J40" i="11"/>
  <c r="T39" i="11"/>
  <c r="R39" i="11"/>
  <c r="J39" i="11"/>
  <c r="T38" i="11"/>
  <c r="R38" i="11" s="1"/>
  <c r="J38" i="11"/>
  <c r="T37" i="11"/>
  <c r="R37" i="11"/>
  <c r="J37" i="11"/>
  <c r="T36" i="11"/>
  <c r="R36" i="11"/>
  <c r="J36" i="11"/>
  <c r="T35" i="11"/>
  <c r="R35" i="11"/>
  <c r="J35" i="11"/>
  <c r="T34" i="11"/>
  <c r="R34" i="11" s="1"/>
  <c r="J34" i="11"/>
  <c r="T33" i="11"/>
  <c r="R33" i="11"/>
  <c r="J33" i="11"/>
  <c r="T32" i="11"/>
  <c r="R32" i="11"/>
  <c r="J32" i="11"/>
  <c r="T31" i="11"/>
  <c r="R31" i="11"/>
  <c r="J31" i="11"/>
  <c r="C31" i="11"/>
  <c r="T30" i="11"/>
  <c r="R30" i="11"/>
  <c r="J30" i="11"/>
  <c r="C30" i="11"/>
  <c r="T29" i="11"/>
  <c r="R29" i="11"/>
  <c r="J29" i="11"/>
  <c r="C29" i="11"/>
  <c r="T28" i="11"/>
  <c r="R28" i="11"/>
  <c r="J28" i="11"/>
  <c r="C28" i="11"/>
  <c r="T27" i="11"/>
  <c r="R27" i="11"/>
  <c r="J27" i="11"/>
  <c r="C27" i="11"/>
  <c r="C34" i="11" s="1"/>
  <c r="T26" i="11"/>
  <c r="R26" i="11"/>
  <c r="J26" i="11"/>
  <c r="C26" i="11"/>
  <c r="T25" i="11"/>
  <c r="R25" i="11"/>
  <c r="J25" i="11"/>
  <c r="C25" i="11"/>
  <c r="T24" i="11"/>
  <c r="R24" i="11"/>
  <c r="J24" i="11"/>
  <c r="C24" i="11"/>
  <c r="T23" i="11"/>
  <c r="R23" i="11"/>
  <c r="J23" i="11"/>
  <c r="C23" i="11"/>
  <c r="T22" i="11"/>
  <c r="R22" i="11"/>
  <c r="J22" i="11"/>
  <c r="C22" i="11"/>
  <c r="T21" i="11"/>
  <c r="R21" i="11"/>
  <c r="J21" i="11"/>
  <c r="C21" i="11"/>
  <c r="J20" i="11"/>
  <c r="D20" i="11"/>
  <c r="C20" i="11"/>
  <c r="J19" i="11"/>
  <c r="D19" i="11"/>
  <c r="D18" i="11" s="1"/>
  <c r="D17" i="11" s="1"/>
  <c r="D16" i="11" s="1"/>
  <c r="D15" i="11" s="1"/>
  <c r="D14" i="11" s="1"/>
  <c r="D13" i="11" s="1"/>
  <c r="D12" i="11" s="1"/>
  <c r="D11" i="11" s="1"/>
  <c r="D10" i="11" s="1"/>
  <c r="D9" i="11" s="1"/>
  <c r="D8" i="11" s="1"/>
  <c r="D7" i="11" s="1"/>
  <c r="D6" i="11" s="1"/>
  <c r="D5" i="11" s="1"/>
  <c r="D4" i="11" s="1"/>
  <c r="D3" i="11" s="1"/>
  <c r="C19" i="11"/>
  <c r="J18" i="11"/>
  <c r="C18" i="11"/>
  <c r="J17" i="11"/>
  <c r="C17" i="11"/>
  <c r="J16" i="11"/>
  <c r="C16" i="11"/>
  <c r="J15" i="11"/>
  <c r="C15" i="11"/>
  <c r="J14" i="11"/>
  <c r="C14" i="11"/>
  <c r="J13" i="11"/>
  <c r="C13" i="11"/>
  <c r="J12" i="11"/>
  <c r="C12" i="11"/>
  <c r="J11" i="11"/>
  <c r="C11" i="11"/>
  <c r="J10" i="11"/>
  <c r="C10" i="11"/>
  <c r="J9" i="11"/>
  <c r="C9" i="11"/>
  <c r="J8" i="11"/>
  <c r="C8" i="11"/>
  <c r="J7" i="11"/>
  <c r="C7" i="11"/>
  <c r="J6" i="11"/>
  <c r="C6" i="11"/>
  <c r="J5" i="11"/>
  <c r="C5" i="11"/>
  <c r="J4" i="11"/>
  <c r="C4" i="11"/>
  <c r="J3" i="11"/>
  <c r="C3" i="11"/>
  <c r="J19" i="10" l="1"/>
  <c r="J11" i="10"/>
  <c r="J46" i="10"/>
  <c r="G19" i="6"/>
  <c r="G20" i="6"/>
  <c r="G21" i="6"/>
  <c r="G22" i="6"/>
  <c r="G23" i="6"/>
  <c r="G24" i="6"/>
  <c r="G25" i="6"/>
  <c r="G26" i="6"/>
  <c r="G27" i="6"/>
  <c r="G28" i="6"/>
  <c r="G29" i="6"/>
  <c r="G18" i="6"/>
  <c r="G4" i="6"/>
  <c r="G5" i="6"/>
  <c r="G6" i="6"/>
  <c r="G7" i="6"/>
  <c r="G8" i="6"/>
  <c r="G9" i="6"/>
  <c r="G10" i="6"/>
  <c r="G11" i="6"/>
  <c r="G12" i="6"/>
  <c r="G13" i="6"/>
  <c r="G14" i="6"/>
  <c r="G3" i="6"/>
  <c r="I34" i="6"/>
  <c r="I35" i="6"/>
  <c r="I36" i="6"/>
  <c r="I37" i="6"/>
  <c r="I38" i="6"/>
  <c r="I39" i="6"/>
  <c r="I40" i="6"/>
  <c r="I41" i="6"/>
  <c r="I42" i="6"/>
  <c r="I43" i="6"/>
  <c r="I44" i="6"/>
  <c r="I33" i="6"/>
  <c r="G49" i="6"/>
  <c r="G50" i="6"/>
  <c r="G51" i="6"/>
  <c r="G52" i="6"/>
  <c r="G53" i="6"/>
  <c r="G54" i="6"/>
  <c r="G55" i="6"/>
  <c r="G56" i="6"/>
  <c r="G57" i="6"/>
  <c r="G58" i="6"/>
  <c r="G59" i="6"/>
  <c r="G48" i="6"/>
  <c r="F49" i="6"/>
  <c r="F50" i="6"/>
  <c r="F51" i="6"/>
  <c r="F52" i="6"/>
  <c r="F53" i="6"/>
  <c r="F54" i="6"/>
  <c r="F55" i="6"/>
  <c r="F56" i="6"/>
  <c r="F57" i="6"/>
  <c r="F58" i="6"/>
  <c r="F59" i="6"/>
  <c r="F48" i="6"/>
  <c r="E49" i="6"/>
  <c r="E50" i="6"/>
  <c r="E51" i="6"/>
  <c r="E52" i="6"/>
  <c r="E53" i="6"/>
  <c r="E54" i="6"/>
  <c r="E55" i="6"/>
  <c r="E56" i="6"/>
  <c r="E57" i="6"/>
  <c r="E58" i="6"/>
  <c r="E59" i="6"/>
  <c r="E48" i="6"/>
  <c r="H34" i="6"/>
  <c r="H35" i="6"/>
  <c r="H36" i="6"/>
  <c r="H37" i="6"/>
  <c r="H38" i="6"/>
  <c r="H39" i="6"/>
  <c r="H40" i="6"/>
  <c r="H41" i="6"/>
  <c r="H42" i="6"/>
  <c r="H43" i="6"/>
  <c r="H44" i="6"/>
  <c r="H33" i="6"/>
  <c r="G34" i="6"/>
  <c r="G35" i="6"/>
  <c r="G36" i="6"/>
  <c r="G37" i="6"/>
  <c r="G38" i="6"/>
  <c r="G39" i="6"/>
  <c r="G40" i="6"/>
  <c r="G41" i="6"/>
  <c r="G42" i="6"/>
  <c r="G43" i="6"/>
  <c r="G44" i="6"/>
  <c r="G33" i="6"/>
  <c r="F34" i="6"/>
  <c r="F35" i="6"/>
  <c r="F36" i="6"/>
  <c r="F37" i="6"/>
  <c r="F38" i="6"/>
  <c r="F39" i="6"/>
  <c r="F40" i="6"/>
  <c r="F41" i="6"/>
  <c r="F42" i="6"/>
  <c r="F43" i="6"/>
  <c r="F44" i="6"/>
  <c r="F33" i="6"/>
  <c r="F19" i="6"/>
  <c r="F20" i="6"/>
  <c r="F21" i="6"/>
  <c r="F22" i="6"/>
  <c r="F23" i="6"/>
  <c r="F24" i="6"/>
  <c r="F25" i="6"/>
  <c r="F26" i="6"/>
  <c r="F27" i="6"/>
  <c r="F28" i="6"/>
  <c r="F29" i="6"/>
  <c r="F18" i="6"/>
  <c r="E19" i="6"/>
  <c r="E20" i="6"/>
  <c r="E21" i="6"/>
  <c r="E22" i="6"/>
  <c r="E23" i="6"/>
  <c r="E24" i="6"/>
  <c r="E25" i="6"/>
  <c r="E26" i="6"/>
  <c r="E27" i="6"/>
  <c r="E28" i="6"/>
  <c r="E29" i="6"/>
  <c r="E18" i="6"/>
  <c r="F4" i="6"/>
  <c r="F5" i="6"/>
  <c r="F6" i="6"/>
  <c r="F7" i="6"/>
  <c r="F8" i="6"/>
  <c r="F9" i="6"/>
  <c r="F10" i="6"/>
  <c r="F11" i="6"/>
  <c r="F12" i="6"/>
  <c r="F13" i="6"/>
  <c r="F14" i="6"/>
  <c r="F3" i="6"/>
  <c r="E4" i="6"/>
  <c r="E5" i="6"/>
  <c r="E6" i="6"/>
  <c r="E7" i="6"/>
  <c r="E8" i="6"/>
  <c r="E9" i="6"/>
  <c r="E10" i="6"/>
  <c r="E11" i="6"/>
  <c r="E12" i="6"/>
  <c r="E13" i="6"/>
  <c r="E14" i="6"/>
  <c r="E3" i="6"/>
</calcChain>
</file>

<file path=xl/sharedStrings.xml><?xml version="1.0" encoding="utf-8"?>
<sst xmlns="http://schemas.openxmlformats.org/spreadsheetml/2006/main" count="319" uniqueCount="160">
  <si>
    <t>Coeficiente de GINI</t>
  </si>
  <si>
    <t>Año</t>
  </si>
  <si>
    <t>Gini Urbano</t>
  </si>
  <si>
    <t>Bianual</t>
  </si>
  <si>
    <t>Rural</t>
  </si>
  <si>
    <t>Gini rural</t>
  </si>
  <si>
    <t>Gini Rural</t>
  </si>
  <si>
    <t>Ecuador</t>
  </si>
  <si>
    <t>ALC</t>
  </si>
  <si>
    <t>Gini Ecuador</t>
  </si>
  <si>
    <t>Gini ALC</t>
  </si>
  <si>
    <t>TVIP
 (43 a 59 meses)</t>
  </si>
  <si>
    <t>Desnutrición crónica</t>
  </si>
  <si>
    <t>Educación superior (&gt; 25 años)</t>
  </si>
  <si>
    <t>Urbano</t>
  </si>
  <si>
    <t>Indígena</t>
  </si>
  <si>
    <t>No indígena</t>
  </si>
  <si>
    <t>Q1</t>
  </si>
  <si>
    <t>Q2</t>
  </si>
  <si>
    <t>Q3</t>
  </si>
  <si>
    <t>Q4</t>
  </si>
  <si>
    <t>Q5</t>
  </si>
  <si>
    <t>Costa</t>
  </si>
  <si>
    <t>Sierra</t>
  </si>
  <si>
    <t>Amazonía</t>
  </si>
  <si>
    <t>Nacional</t>
  </si>
  <si>
    <t>Ing_no Univ</t>
  </si>
  <si>
    <t>Ing_Univ</t>
  </si>
  <si>
    <t>Salario Básico</t>
  </si>
  <si>
    <t>Salario básico Ecuador</t>
  </si>
  <si>
    <t>Secundaria o menos</t>
  </si>
  <si>
    <t>Universitaria</t>
  </si>
  <si>
    <t>Mc Arthur Bates</t>
  </si>
  <si>
    <t>Dice
(12 a 18 meses)</t>
  </si>
  <si>
    <t>Dice 
(19 a 30 meses)</t>
  </si>
  <si>
    <t>Dice 
(31 a 42 meses)</t>
  </si>
  <si>
    <t>Hombre</t>
  </si>
  <si>
    <t>Mujer</t>
  </si>
  <si>
    <t>Area</t>
  </si>
  <si>
    <t>Etnia</t>
  </si>
  <si>
    <t>Quintil de Ingreso</t>
  </si>
  <si>
    <t>Grupo de Población</t>
  </si>
  <si>
    <t>Sexo</t>
  </si>
  <si>
    <t>Región</t>
  </si>
  <si>
    <t>Porcentaje del Salario Básico por Nivel Escolar</t>
  </si>
  <si>
    <t>Publico</t>
  </si>
  <si>
    <t>Privado</t>
  </si>
  <si>
    <t>Total</t>
  </si>
  <si>
    <t>Público</t>
  </si>
  <si>
    <t>Diferencia</t>
  </si>
  <si>
    <t>Diff</t>
  </si>
  <si>
    <t>Por deciles</t>
  </si>
  <si>
    <t>Periodo 2000-2023</t>
  </si>
  <si>
    <t>Período</t>
  </si>
  <si>
    <t>2001_2005</t>
  </si>
  <si>
    <t>2005_2017</t>
  </si>
  <si>
    <t>2017_2023</t>
  </si>
  <si>
    <t>2001_2023</t>
  </si>
  <si>
    <t>Decil más pobre</t>
  </si>
  <si>
    <t>Decil más rico</t>
  </si>
  <si>
    <t>Total Nacional</t>
  </si>
  <si>
    <t>Coeficiente de Gini</t>
  </si>
  <si>
    <t>Bolivia</t>
  </si>
  <si>
    <t>Argentina</t>
  </si>
  <si>
    <t>Brasil</t>
  </si>
  <si>
    <t>Chile</t>
  </si>
  <si>
    <t>Colombia</t>
  </si>
  <si>
    <t>Paraguay</t>
  </si>
  <si>
    <t>Perú</t>
  </si>
  <si>
    <t>Uruguay</t>
  </si>
  <si>
    <t>Mexico</t>
  </si>
  <si>
    <t>Costa Rica</t>
  </si>
  <si>
    <t>PIB Real</t>
  </si>
  <si>
    <t>Crecimiento</t>
  </si>
  <si>
    <t>PIB Real (dólares 2015)</t>
  </si>
  <si>
    <t>Crecimiento promedio</t>
  </si>
  <si>
    <t>Gini urbano</t>
  </si>
  <si>
    <t>Gini nacional</t>
  </si>
  <si>
    <t>Salario básico unificado</t>
  </si>
  <si>
    <t>Salario mínimo real nacional en dólares 2015</t>
  </si>
  <si>
    <t>IPC</t>
  </si>
  <si>
    <t>Factor ajuste</t>
  </si>
  <si>
    <t>Indice de Palma. ALC</t>
  </si>
  <si>
    <t>2001</t>
  </si>
  <si>
    <t>2003</t>
  </si>
  <si>
    <t>2005</t>
  </si>
  <si>
    <t>2007</t>
  </si>
  <si>
    <t>2009</t>
  </si>
  <si>
    <t>2011</t>
  </si>
  <si>
    <t>2013</t>
  </si>
  <si>
    <t>2015</t>
  </si>
  <si>
    <t>2017</t>
  </si>
  <si>
    <t>2019</t>
  </si>
  <si>
    <t>2021</t>
  </si>
  <si>
    <t>2023</t>
  </si>
  <si>
    <t>Distribución del Ingreso</t>
  </si>
  <si>
    <t>1% más rico</t>
  </si>
  <si>
    <t>10% más rico</t>
  </si>
  <si>
    <t>Distribución de la Riqueza</t>
  </si>
  <si>
    <t>Paritcipación del 1% en el ingreso</t>
  </si>
  <si>
    <t>Factor de ajuste para deflactar</t>
  </si>
  <si>
    <t>INGRESOS REALES</t>
  </si>
  <si>
    <t>Indigena</t>
  </si>
  <si>
    <t>Calificados</t>
  </si>
  <si>
    <t xml:space="preserve">Año </t>
  </si>
  <si>
    <t>Tasa de crecimiento de la mediana del ingreso percápita en dólares del 2015</t>
  </si>
  <si>
    <t>Descomposición del crecimiento. Valores reales del 2000</t>
  </si>
  <si>
    <t>Delta PIB</t>
  </si>
  <si>
    <t>D</t>
  </si>
  <si>
    <t>IS</t>
  </si>
  <si>
    <t>E</t>
  </si>
  <si>
    <t>Comprobación</t>
  </si>
  <si>
    <t>PIBr</t>
  </si>
  <si>
    <t>1970-1981</t>
  </si>
  <si>
    <t>Consumo hogares</t>
  </si>
  <si>
    <t>Absolutos</t>
  </si>
  <si>
    <t>Inversion FBKF</t>
  </si>
  <si>
    <t>Porcentages</t>
  </si>
  <si>
    <t>Gasto del gobierno</t>
  </si>
  <si>
    <t>Variación de existencias</t>
  </si>
  <si>
    <t>Exportaciones</t>
  </si>
  <si>
    <t>Importaciones</t>
  </si>
  <si>
    <t>1982-1989</t>
  </si>
  <si>
    <t>1990-1999</t>
  </si>
  <si>
    <t>2000-2006</t>
  </si>
  <si>
    <t>2007-2017</t>
  </si>
  <si>
    <t>2018-2023</t>
  </si>
  <si>
    <t>Period</t>
  </si>
  <si>
    <t>Change GDP</t>
  </si>
  <si>
    <t xml:space="preserve">Tramos IR personas naturales años en donde se dan cambios normativos </t>
  </si>
  <si>
    <t>Año fiscal</t>
  </si>
  <si>
    <t>Fracción básica (USD)</t>
  </si>
  <si>
    <t>Exceso hasta (USD)</t>
  </si>
  <si>
    <t>Impuesto sobre fracción básica (USD)</t>
  </si>
  <si>
    <t>Tasa sobre la fracción excedente (%)</t>
  </si>
  <si>
    <t>Fuente (PDF / Resolución)</t>
  </si>
  <si>
    <t>SRI "Tablas de cálculo IR" (res. 0132-2002) (Sri)</t>
  </si>
  <si>
    <t>SRI “Tablas de cálculo IR” PDF (Sri)</t>
  </si>
  <si>
    <t>~68.110</t>
  </si>
  <si>
    <t>SRI — tablas IR (resolución antigua) (Sri)</t>
  </si>
  <si>
    <t>Boletín SRI, tabla IR 2018 (Sri)</t>
  </si>
  <si>
    <t>Tablas IR SRI (PDF) (Sri)</t>
  </si>
  <si>
    <t>Resolución SRI N°63 para IR 2020 (Ferrere)</t>
  </si>
  <si>
    <t>0 / 11.902*</t>
  </si>
  <si>
    <t>—</t>
  </si>
  <si>
    <t>Boletín SRI — actualización tablas para 2024 (Sri)</t>
  </si>
  <si>
    <t>en adelante</t>
  </si>
  <si>
    <t>Resolución NAC-DGERCGC24-00000041 (Boletín SRI)</t>
  </si>
  <si>
    <t>* En algunos años, la “fracción básica” exenta es reportada en las resoluciones y boletines con valores diferentes o actualizados por IPC (por ejemplo, en 2020 y 2024)</t>
  </si>
  <si>
    <t>Límite inferior del rango superior</t>
  </si>
  <si>
    <t>Dólares del 2015</t>
  </si>
  <si>
    <t>Tasa impositiva sobre el rango superior</t>
  </si>
  <si>
    <t>Factor de Ajuste</t>
  </si>
  <si>
    <t>Valor Mensual del Rango superior</t>
  </si>
  <si>
    <t>1991-1998</t>
  </si>
  <si>
    <t>2001-2010</t>
  </si>
  <si>
    <t>2011-2024</t>
  </si>
  <si>
    <t>2001-2024</t>
  </si>
  <si>
    <r>
      <rPr>
        <b/>
        <sz val="11"/>
        <color theme="1"/>
        <rFont val="Aptos Narrow"/>
        <family val="2"/>
        <scheme val="minor"/>
      </rPr>
      <t>Interpretación:</t>
    </r>
    <r>
      <rPr>
        <sz val="11"/>
        <color theme="1"/>
        <rFont val="Aptos Narrow"/>
        <family val="2"/>
        <scheme val="minor"/>
      </rPr>
      <t xml:space="preserve"> 
Azul: crecimiento anualizado de cada decil; 
Rojo: Promedio de crecimiento del decil p y los anteriores a p (ej. el punto del decil 2 = (crecimiento anualizado decil 10 + crecimiento anualizado decil 20) / 2</t>
    </r>
  </si>
  <si>
    <t>NA (solo hay datos para el sector urbano)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</si>
</sst>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#,##0.0000&quot;&quot;;\-#,##0.0000&quot;&quot;"/>
    <numFmt numFmtId="165" formatCode="#,##0.000&quot;&quot;;\-#,##0.000&quot;&quot;"/>
    <numFmt numFmtId="166" formatCode="0.000"/>
    <numFmt numFmtId="167" formatCode="0.0"/>
    <numFmt numFmtId="168" formatCode="0.0%"/>
    <numFmt numFmtId="169" formatCode="_-* #,##0.00\ _€_-;\-* #,##0.00\ _€_-;_-* &quot;-&quot;??\ _€_-;_-@_-"/>
    <numFmt numFmtId="170" formatCode="_ * #,##0_ ;_ * \-#,##0_ ;_ * &quot;-&quot;??_ ;_ @_ "/>
    <numFmt numFmtId="171" formatCode="&quot;$&quot;#,##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1"/>
      <name val="Calibri"/>
      <family val="2"/>
    </font>
    <font>
      <sz val="11"/>
      <name val="Arial Narrow"/>
      <family val="2"/>
    </font>
    <font>
      <sz val="10"/>
      <name val="Century Gothic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i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30">
    <xf numFmtId="0" fontId="0" fillId="0" borderId="0" xfId="0"/>
    <xf numFmtId="2" fontId="0" fillId="33" borderId="10" xfId="0" applyNumberFormat="1" applyFill="1" applyBorder="1"/>
    <xf numFmtId="2" fontId="0" fillId="0" borderId="10" xfId="0" applyNumberFormat="1" applyBorder="1"/>
    <xf numFmtId="0" fontId="0" fillId="33" borderId="0" xfId="0" applyFill="1"/>
    <xf numFmtId="2" fontId="0" fillId="33" borderId="0" xfId="0" applyNumberFormat="1" applyFill="1"/>
    <xf numFmtId="2" fontId="0" fillId="0" borderId="0" xfId="0" applyNumberFormat="1"/>
    <xf numFmtId="0" fontId="0" fillId="0" borderId="11" xfId="0" applyBorder="1"/>
    <xf numFmtId="164" fontId="19" fillId="0" borderId="0" xfId="0" applyNumberFormat="1" applyFont="1" applyAlignment="1">
      <alignment horizontal="right" vertical="center"/>
    </xf>
    <xf numFmtId="164" fontId="19" fillId="0" borderId="12" xfId="0" applyNumberFormat="1" applyFont="1" applyBorder="1" applyAlignment="1">
      <alignment horizontal="right" vertical="center"/>
    </xf>
    <xf numFmtId="165" fontId="20" fillId="0" borderId="11" xfId="0" applyNumberFormat="1" applyFont="1" applyBorder="1" applyAlignment="1">
      <alignment horizontal="right" vertical="center"/>
    </xf>
    <xf numFmtId="165" fontId="20" fillId="0" borderId="13" xfId="0" applyNumberFormat="1" applyFont="1" applyBorder="1" applyAlignment="1">
      <alignment horizontal="right" vertical="center"/>
    </xf>
    <xf numFmtId="166" fontId="0" fillId="34" borderId="14" xfId="0" applyNumberFormat="1" applyFill="1" applyBorder="1" applyAlignment="1">
      <alignment horizontal="center"/>
    </xf>
    <xf numFmtId="0" fontId="21" fillId="34" borderId="14" xfId="0" applyFont="1" applyFill="1" applyBorder="1" applyAlignment="1">
      <alignment horizontal="center" vertical="center" wrapText="1"/>
    </xf>
    <xf numFmtId="0" fontId="18" fillId="34" borderId="14" xfId="0" applyFont="1" applyFill="1" applyBorder="1"/>
    <xf numFmtId="2" fontId="0" fillId="34" borderId="14" xfId="0" applyNumberFormat="1" applyFill="1" applyBorder="1" applyAlignment="1">
      <alignment horizontal="center"/>
    </xf>
    <xf numFmtId="10" fontId="0" fillId="34" borderId="14" xfId="43" applyNumberFormat="1" applyFont="1" applyFill="1" applyBorder="1" applyAlignment="1">
      <alignment horizontal="center"/>
    </xf>
    <xf numFmtId="2" fontId="21" fillId="34" borderId="14" xfId="0" applyNumberFormat="1" applyFont="1" applyFill="1" applyBorder="1" applyAlignment="1">
      <alignment horizontal="center"/>
    </xf>
    <xf numFmtId="10" fontId="21" fillId="34" borderId="14" xfId="43" applyNumberFormat="1" applyFont="1" applyFill="1" applyBorder="1" applyAlignment="1">
      <alignment horizontal="center"/>
    </xf>
    <xf numFmtId="0" fontId="21" fillId="34" borderId="14" xfId="0" applyFont="1" applyFill="1" applyBorder="1" applyAlignment="1">
      <alignment horizontal="center" vertical="center"/>
    </xf>
    <xf numFmtId="167" fontId="0" fillId="0" borderId="0" xfId="0" applyNumberFormat="1"/>
    <xf numFmtId="0" fontId="18" fillId="34" borderId="14" xfId="0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8" fillId="34" borderId="0" xfId="0" applyFont="1" applyFill="1"/>
    <xf numFmtId="0" fontId="0" fillId="34" borderId="0" xfId="0" applyFill="1"/>
    <xf numFmtId="0" fontId="22" fillId="34" borderId="14" xfId="0" applyFont="1" applyFill="1" applyBorder="1"/>
    <xf numFmtId="0" fontId="22" fillId="34" borderId="14" xfId="0" applyFont="1" applyFill="1" applyBorder="1" applyAlignment="1">
      <alignment horizontal="left" vertical="center" wrapText="1"/>
    </xf>
    <xf numFmtId="2" fontId="23" fillId="34" borderId="14" xfId="0" applyNumberFormat="1" applyFont="1" applyFill="1" applyBorder="1" applyAlignment="1">
      <alignment horizontal="center"/>
    </xf>
    <xf numFmtId="10" fontId="23" fillId="34" borderId="14" xfId="43" applyNumberFormat="1" applyFont="1" applyFill="1" applyBorder="1" applyAlignment="1">
      <alignment horizontal="center"/>
    </xf>
    <xf numFmtId="0" fontId="23" fillId="0" borderId="0" xfId="0" applyFont="1"/>
    <xf numFmtId="2" fontId="0" fillId="0" borderId="11" xfId="0" applyNumberFormat="1" applyBorder="1"/>
    <xf numFmtId="2" fontId="20" fillId="0" borderId="11" xfId="0" applyNumberFormat="1" applyFont="1" applyBorder="1" applyAlignment="1">
      <alignment horizontal="right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8" fontId="0" fillId="0" borderId="0" xfId="0" applyNumberFormat="1"/>
    <xf numFmtId="168" fontId="0" fillId="0" borderId="19" xfId="0" applyNumberFormat="1" applyBorder="1"/>
    <xf numFmtId="0" fontId="0" fillId="0" borderId="20" xfId="0" applyBorder="1"/>
    <xf numFmtId="168" fontId="0" fillId="0" borderId="21" xfId="0" applyNumberFormat="1" applyBorder="1"/>
    <xf numFmtId="168" fontId="0" fillId="0" borderId="22" xfId="0" applyNumberFormat="1" applyBorder="1"/>
    <xf numFmtId="166" fontId="0" fillId="0" borderId="0" xfId="0" applyNumberFormat="1"/>
    <xf numFmtId="2" fontId="24" fillId="0" borderId="0" xfId="0" applyNumberFormat="1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4" xfId="0" applyBorder="1" applyAlignment="1">
      <alignment vertical="center" wrapText="1"/>
    </xf>
    <xf numFmtId="166" fontId="0" fillId="0" borderId="14" xfId="0" applyNumberFormat="1" applyBorder="1" applyAlignment="1">
      <alignment horizontal="center" vertical="center" wrapText="1"/>
    </xf>
    <xf numFmtId="0" fontId="25" fillId="0" borderId="14" xfId="44" applyFont="1" applyBorder="1" applyAlignment="1">
      <alignment horizontal="center"/>
    </xf>
    <xf numFmtId="3" fontId="25" fillId="0" borderId="14" xfId="44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14" xfId="0" applyNumberFormat="1" applyBorder="1" applyAlignment="1">
      <alignment horizontal="right"/>
    </xf>
    <xf numFmtId="0" fontId="0" fillId="0" borderId="14" xfId="0" applyBorder="1"/>
    <xf numFmtId="166" fontId="0" fillId="0" borderId="14" xfId="0" applyNumberFormat="1" applyBorder="1" applyAlignment="1">
      <alignment horizontal="center"/>
    </xf>
    <xf numFmtId="168" fontId="1" fillId="0" borderId="14" xfId="43" applyNumberFormat="1" applyFont="1" applyBorder="1" applyAlignment="1">
      <alignment horizontal="center"/>
    </xf>
    <xf numFmtId="2" fontId="0" fillId="0" borderId="14" xfId="0" applyNumberFormat="1" applyBorder="1"/>
    <xf numFmtId="168" fontId="1" fillId="0" borderId="0" xfId="43" applyNumberFormat="1" applyFont="1"/>
    <xf numFmtId="2" fontId="0" fillId="0" borderId="14" xfId="0" applyNumberFormat="1" applyBorder="1" applyAlignment="1">
      <alignment horizontal="center"/>
    </xf>
    <xf numFmtId="2" fontId="0" fillId="33" borderId="14" xfId="0" applyNumberFormat="1" applyFill="1" applyBorder="1"/>
    <xf numFmtId="0" fontId="25" fillId="0" borderId="23" xfId="44" applyFont="1" applyFill="1" applyBorder="1" applyAlignment="1">
      <alignment horizontal="center"/>
    </xf>
    <xf numFmtId="10" fontId="0" fillId="0" borderId="0" xfId="0" applyNumberFormat="1"/>
    <xf numFmtId="168" fontId="1" fillId="0" borderId="0" xfId="43" applyNumberFormat="1" applyFont="1" applyFill="1" applyBorder="1" applyAlignment="1">
      <alignment horizontal="center"/>
    </xf>
    <xf numFmtId="0" fontId="25" fillId="0" borderId="14" xfId="44" applyFon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6" fillId="0" borderId="0" xfId="0" applyFont="1"/>
    <xf numFmtId="2" fontId="26" fillId="0" borderId="0" xfId="0" applyNumberFormat="1" applyFont="1"/>
    <xf numFmtId="0" fontId="0" fillId="0" borderId="14" xfId="0" applyBorder="1" applyAlignment="1">
      <alignment horizontal="center" vertical="justify" wrapText="1"/>
    </xf>
    <xf numFmtId="43" fontId="0" fillId="0" borderId="14" xfId="45" applyFont="1" applyBorder="1"/>
    <xf numFmtId="169" fontId="0" fillId="0" borderId="0" xfId="0" applyNumberFormat="1"/>
    <xf numFmtId="43" fontId="0" fillId="0" borderId="0" xfId="0" applyNumberFormat="1"/>
    <xf numFmtId="43" fontId="24" fillId="0" borderId="14" xfId="45" applyFont="1" applyFill="1" applyBorder="1"/>
    <xf numFmtId="43" fontId="24" fillId="0" borderId="0" xfId="45" applyFont="1" applyFill="1" applyBorder="1"/>
    <xf numFmtId="43" fontId="24" fillId="0" borderId="0" xfId="44" applyNumberFormat="1" applyFill="1" applyBorder="1"/>
    <xf numFmtId="43" fontId="24" fillId="0" borderId="14" xfId="44" applyNumberFormat="1" applyFill="1" applyBorder="1"/>
    <xf numFmtId="168" fontId="24" fillId="0" borderId="0" xfId="44" applyNumberFormat="1" applyFill="1" applyBorder="1"/>
    <xf numFmtId="170" fontId="24" fillId="0" borderId="14" xfId="44" applyNumberFormat="1" applyFill="1" applyBorder="1"/>
    <xf numFmtId="3" fontId="0" fillId="0" borderId="14" xfId="44" applyNumberFormat="1" applyFont="1" applyBorder="1"/>
    <xf numFmtId="43" fontId="24" fillId="0" borderId="14" xfId="44" applyNumberFormat="1" applyFill="1" applyBorder="1" applyAlignment="1">
      <alignment vertical="center"/>
    </xf>
    <xf numFmtId="3" fontId="0" fillId="0" borderId="14" xfId="44" applyNumberFormat="1" applyFont="1" applyBorder="1" applyAlignment="1">
      <alignment vertical="center"/>
    </xf>
    <xf numFmtId="43" fontId="24" fillId="0" borderId="0" xfId="45" applyFont="1" applyFill="1" applyBorder="1" applyAlignment="1">
      <alignment vertical="center"/>
    </xf>
    <xf numFmtId="43" fontId="24" fillId="0" borderId="0" xfId="44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24" fillId="0" borderId="14" xfId="0" applyFont="1" applyBorder="1"/>
    <xf numFmtId="0" fontId="27" fillId="0" borderId="24" xfId="0" applyFont="1" applyBorder="1"/>
    <xf numFmtId="169" fontId="27" fillId="0" borderId="25" xfId="0" applyNumberFormat="1" applyFont="1" applyBorder="1"/>
    <xf numFmtId="169" fontId="27" fillId="0" borderId="25" xfId="0" applyNumberFormat="1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0" fillId="0" borderId="27" xfId="0" applyBorder="1" applyAlignment="1">
      <alignment horizontal="left"/>
    </xf>
    <xf numFmtId="9" fontId="0" fillId="0" borderId="28" xfId="0" applyNumberFormat="1" applyBorder="1"/>
    <xf numFmtId="168" fontId="0" fillId="0" borderId="28" xfId="0" applyNumberFormat="1" applyBorder="1"/>
    <xf numFmtId="168" fontId="0" fillId="0" borderId="17" xfId="0" applyNumberFormat="1" applyBorder="1"/>
    <xf numFmtId="0" fontId="0" fillId="0" borderId="29" xfId="0" applyBorder="1" applyAlignment="1">
      <alignment horizontal="left"/>
    </xf>
    <xf numFmtId="9" fontId="0" fillId="0" borderId="23" xfId="0" applyNumberFormat="1" applyBorder="1"/>
    <xf numFmtId="168" fontId="0" fillId="0" borderId="23" xfId="0" applyNumberFormat="1" applyBorder="1"/>
    <xf numFmtId="168" fontId="0" fillId="0" borderId="30" xfId="0" applyNumberFormat="1" applyBorder="1"/>
    <xf numFmtId="168" fontId="0" fillId="0" borderId="10" xfId="0" applyNumberFormat="1" applyBorder="1"/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9" fontId="0" fillId="0" borderId="31" xfId="0" applyNumberFormat="1" applyBorder="1"/>
    <xf numFmtId="168" fontId="0" fillId="0" borderId="31" xfId="0" applyNumberFormat="1" applyBorder="1"/>
    <xf numFmtId="168" fontId="0" fillId="0" borderId="32" xfId="0" applyNumberFormat="1" applyBorder="1"/>
    <xf numFmtId="0" fontId="0" fillId="0" borderId="0" xfId="0" applyAlignment="1">
      <alignment horizontal="center" vertical="center" wrapText="1"/>
    </xf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3" fontId="0" fillId="0" borderId="0" xfId="0" applyNumberFormat="1" applyAlignment="1">
      <alignment horizontal="right"/>
    </xf>
    <xf numFmtId="171" fontId="0" fillId="0" borderId="0" xfId="0" applyNumberFormat="1"/>
    <xf numFmtId="171" fontId="0" fillId="0" borderId="0" xfId="0" applyNumberFormat="1" applyAlignment="1">
      <alignment wrapText="1"/>
    </xf>
    <xf numFmtId="0" fontId="0" fillId="0" borderId="18" xfId="0" applyBorder="1" applyAlignment="1">
      <alignment vertical="center"/>
    </xf>
    <xf numFmtId="0" fontId="14" fillId="0" borderId="3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34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46">
    <cellStyle name="20% - Énfasis1" xfId="17" builtinId="30" customBuiltin="1"/>
    <cellStyle name="20% - Énfasis2" xfId="20" builtinId="34" customBuiltin="1"/>
    <cellStyle name="20% - Énfasis3" xfId="23" builtinId="38" customBuiltin="1"/>
    <cellStyle name="20% - Énfasis4" xfId="26" builtinId="42" customBuiltin="1"/>
    <cellStyle name="20% - Énfasis5" xfId="29" builtinId="46" customBuiltin="1"/>
    <cellStyle name="20% - Énfasis6" xfId="32" builtinId="50" customBuiltin="1"/>
    <cellStyle name="40% - Énfasis1" xfId="18" builtinId="31" customBuiltin="1"/>
    <cellStyle name="40% - Énfasis2" xfId="21" builtinId="35" customBuiltin="1"/>
    <cellStyle name="40% - Énfasis3" xfId="24" builtinId="39" customBuiltin="1"/>
    <cellStyle name="40% - Énfasis4" xfId="27" builtinId="43" customBuiltin="1"/>
    <cellStyle name="40% - Énfasis5" xfId="30" builtinId="47" customBuiltin="1"/>
    <cellStyle name="40% - Énfasis6" xfId="33" builtinId="51" customBuiltin="1"/>
    <cellStyle name="60% - Énfasis1 2" xfId="36" xr:uid="{4FE2CBBB-CEC5-44F8-BF68-4864DD513C54}"/>
    <cellStyle name="60% - Énfasis2 2" xfId="37" xr:uid="{571A9C6B-9A7C-42B7-BF43-9F920FDDEAB3}"/>
    <cellStyle name="60% - Énfasis3 2" xfId="38" xr:uid="{D71F2731-70F9-455D-93E6-304DF8E0E5C8}"/>
    <cellStyle name="60% - Énfasis4 2" xfId="39" xr:uid="{DE099708-D4F0-4048-AA55-696ED52C4E16}"/>
    <cellStyle name="60% - Énfasis5 2" xfId="40" xr:uid="{C28D0F71-B831-4100-AC74-BC67ED98DFDB}"/>
    <cellStyle name="60% - Énfasis6 2" xfId="41" xr:uid="{1206C12D-216B-4156-8650-73955E113BEB}"/>
    <cellStyle name="ANCLAS,REZONES Y SUS PARTES,DE FUNDICION,DE HIERRO O DE ACERO" xfId="44" xr:uid="{66ADEE5B-A1D1-4EAD-80C3-FAC977B5DE7A}"/>
    <cellStyle name="Bueno" xfId="5" builtinId="26" customBuiltin="1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1" xfId="1" builtinId="16" customBuiltin="1"/>
    <cellStyle name="Encabezado 4" xfId="4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rada" xfId="7" builtinId="20" customBuiltin="1"/>
    <cellStyle name="Incorrecto" xfId="6" builtinId="27" customBuiltin="1"/>
    <cellStyle name="Millares" xfId="45" builtinId="3"/>
    <cellStyle name="Neutral 2" xfId="35" xr:uid="{2F89F982-E358-4B5B-AD1F-9BB45A57C775}"/>
    <cellStyle name="Normal" xfId="0" builtinId="0"/>
    <cellStyle name="Normal 2" xfId="42" xr:uid="{309CC13E-226B-4E69-B081-E2D09805DE0D}"/>
    <cellStyle name="Notas" xfId="13" builtinId="10" customBuiltin="1"/>
    <cellStyle name="Porcentaje" xfId="43" builtinId="5"/>
    <cellStyle name="Salida" xfId="8" builtinId="21" customBuiltin="1"/>
    <cellStyle name="Texto de advertencia" xfId="12" builtinId="11" customBuiltin="1"/>
    <cellStyle name="Texto explicativo" xfId="14" builtinId="53" customBuiltin="1"/>
    <cellStyle name="Título 2" xfId="2" builtinId="17" customBuiltin="1"/>
    <cellStyle name="Título 3" xfId="3" builtinId="18" customBuiltin="1"/>
    <cellStyle name="Título 4" xfId="34" xr:uid="{E9D7B8EA-C4A4-47C3-B26F-B538E3FC35D7}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Gini Nacional</a:t>
            </a:r>
            <a:endParaRPr lang="es-EC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'Gini Nac'!$E$3</c:f>
              <c:strCache>
                <c:ptCount val="1"/>
                <c:pt idx="0">
                  <c:v>Gini Ecuador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'Gini Nac'!$D$4:$D$16</c:f>
              <c:numCache>
                <c:formatCode>General</c:formatCode>
                <c:ptCount val="13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'Gini Nac'!$E$4:$E$16</c:f>
              <c:numCache>
                <c:formatCode>0.00</c:formatCode>
                <c:ptCount val="13"/>
                <c:pt idx="0">
                  <c:v>0.58099999999999996</c:v>
                </c:pt>
                <c:pt idx="1">
                  <c:v>0.55859999999999999</c:v>
                </c:pt>
                <c:pt idx="2">
                  <c:v>0.54800000000000004</c:v>
                </c:pt>
                <c:pt idx="3">
                  <c:v>0.55000000000000004</c:v>
                </c:pt>
                <c:pt idx="4">
                  <c:v>0.504</c:v>
                </c:pt>
                <c:pt idx="5">
                  <c:v>0.47320000000000001</c:v>
                </c:pt>
                <c:pt idx="6">
                  <c:v>0.48499999999999999</c:v>
                </c:pt>
                <c:pt idx="7">
                  <c:v>0.47570000000000001</c:v>
                </c:pt>
                <c:pt idx="8">
                  <c:v>0.45929999999999999</c:v>
                </c:pt>
                <c:pt idx="9">
                  <c:v>0.47339999999999999</c:v>
                </c:pt>
                <c:pt idx="10">
                  <c:v>0.48599999999999999</c:v>
                </c:pt>
                <c:pt idx="11">
                  <c:v>0.45720593564451528</c:v>
                </c:pt>
                <c:pt idx="12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7-4F5B-B66D-0FB775A8A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46176"/>
        <c:axId val="26440416"/>
      </c:lineChart>
      <c:catAx>
        <c:axId val="2644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6440416"/>
        <c:crosses val="autoZero"/>
        <c:auto val="1"/>
        <c:lblAlgn val="ctr"/>
        <c:lblOffset val="100"/>
        <c:noMultiLvlLbl val="0"/>
      </c:catAx>
      <c:valAx>
        <c:axId val="26440416"/>
        <c:scaling>
          <c:orientation val="minMax"/>
          <c:min val="0.3000000000000000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64461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Coeficiente</a:t>
            </a:r>
            <a:r>
              <a:rPr lang="es-EC" baseline="0"/>
              <a:t> de Gini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'Gini Nac'!$B$3</c:f>
              <c:strCache>
                <c:ptCount val="1"/>
                <c:pt idx="0">
                  <c:v>Ecuador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'Gini Nac'!$A$4:$A$28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'Gini Nac'!$B$4:$B$28</c:f>
              <c:numCache>
                <c:formatCode>0.00</c:formatCode>
                <c:ptCount val="25"/>
                <c:pt idx="0" formatCode="General">
                  <c:v>0.56999999999999995</c:v>
                </c:pt>
                <c:pt idx="1">
                  <c:v>0.58099999999999996</c:v>
                </c:pt>
                <c:pt idx="2">
                  <c:v>0.52690000000000003</c:v>
                </c:pt>
                <c:pt idx="3">
                  <c:v>0.55859999999999999</c:v>
                </c:pt>
                <c:pt idx="4">
                  <c:v>0.56799999999999995</c:v>
                </c:pt>
                <c:pt idx="5">
                  <c:v>0.54800000000000004</c:v>
                </c:pt>
                <c:pt idx="6">
                  <c:v>0.52600000000000002</c:v>
                </c:pt>
                <c:pt idx="7">
                  <c:v>0.55000000000000004</c:v>
                </c:pt>
                <c:pt idx="8">
                  <c:v>0.51400000000000001</c:v>
                </c:pt>
                <c:pt idx="9">
                  <c:v>0.504</c:v>
                </c:pt>
                <c:pt idx="10">
                  <c:v>0.50800000000000001</c:v>
                </c:pt>
                <c:pt idx="11">
                  <c:v>0.47320000000000001</c:v>
                </c:pt>
                <c:pt idx="12">
                  <c:v>0.47670000000000001</c:v>
                </c:pt>
                <c:pt idx="13">
                  <c:v>0.48499999999999999</c:v>
                </c:pt>
                <c:pt idx="14">
                  <c:v>0.46650000000000003</c:v>
                </c:pt>
                <c:pt idx="15">
                  <c:v>0.47570000000000001</c:v>
                </c:pt>
                <c:pt idx="16">
                  <c:v>0.46600000000000003</c:v>
                </c:pt>
                <c:pt idx="17">
                  <c:v>0.45929999999999999</c:v>
                </c:pt>
                <c:pt idx="18">
                  <c:v>0.46899999999999997</c:v>
                </c:pt>
                <c:pt idx="19">
                  <c:v>0.47339999999999999</c:v>
                </c:pt>
                <c:pt idx="20">
                  <c:v>0.49769999999999998</c:v>
                </c:pt>
                <c:pt idx="21">
                  <c:v>0.48599999999999999</c:v>
                </c:pt>
                <c:pt idx="22">
                  <c:v>0.46590505436662949</c:v>
                </c:pt>
                <c:pt idx="23">
                  <c:v>0.45720593564451528</c:v>
                </c:pt>
                <c:pt idx="24">
                  <c:v>0.46326720790839798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2-4F9B-A8BC-9974F2FB63D6}"/>
            </c:ext>
          </c:extLst>
        </c:ser>
        <c:ser>
          <c:idx val="1"/>
          <c:order val="1"/>
          <c:tx>
            <c:strRef>
              <c:f>'Gini Nac'!$C$3</c:f>
              <c:strCache>
                <c:ptCount val="1"/>
                <c:pt idx="0">
                  <c:v>ALC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'Gini Nac'!$A$4:$A$28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'Gini Nac'!$C$4:$C$28</c:f>
              <c:numCache>
                <c:formatCode>0.000</c:formatCode>
                <c:ptCount val="25"/>
                <c:pt idx="0">
                  <c:v>0.53100001811981201</c:v>
                </c:pt>
                <c:pt idx="1">
                  <c:v>0.5339999794960022</c:v>
                </c:pt>
                <c:pt idx="2">
                  <c:v>0.5350000262260437</c:v>
                </c:pt>
                <c:pt idx="3">
                  <c:v>0.53200000524520874</c:v>
                </c:pt>
                <c:pt idx="4">
                  <c:v>0.52399998903274536</c:v>
                </c:pt>
                <c:pt idx="5">
                  <c:v>0.52300000190734863</c:v>
                </c:pt>
                <c:pt idx="6">
                  <c:v>0.51499998569488525</c:v>
                </c:pt>
                <c:pt idx="7">
                  <c:v>0.51099997758865356</c:v>
                </c:pt>
                <c:pt idx="8">
                  <c:v>0.5</c:v>
                </c:pt>
                <c:pt idx="9">
                  <c:v>0.49200001358985901</c:v>
                </c:pt>
                <c:pt idx="10">
                  <c:v>0.48800000548362732</c:v>
                </c:pt>
                <c:pt idx="11">
                  <c:v>0.48399999737739557</c:v>
                </c:pt>
                <c:pt idx="12">
                  <c:v>0.4779999852180481</c:v>
                </c:pt>
                <c:pt idx="13">
                  <c:v>0.47900000214576721</c:v>
                </c:pt>
                <c:pt idx="14">
                  <c:v>0.47099998593330378</c:v>
                </c:pt>
                <c:pt idx="15">
                  <c:v>0.46599999070167542</c:v>
                </c:pt>
                <c:pt idx="16">
                  <c:v>0.46599999070167542</c:v>
                </c:pt>
                <c:pt idx="17">
                  <c:v>0.46399998664855963</c:v>
                </c:pt>
                <c:pt idx="18">
                  <c:v>0.460999995470047</c:v>
                </c:pt>
                <c:pt idx="19">
                  <c:v>0.46200001239776611</c:v>
                </c:pt>
                <c:pt idx="20">
                  <c:v>0.46399998664855963</c:v>
                </c:pt>
                <c:pt idx="21">
                  <c:v>0.460999995470047</c:v>
                </c:pt>
                <c:pt idx="22">
                  <c:v>0.45300000905990601</c:v>
                </c:pt>
                <c:pt idx="23">
                  <c:v>0.45199999213218689</c:v>
                </c:pt>
                <c:pt idx="24">
                  <c:v>0.44900000095367432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2-4F9B-A8BC-9974F2FB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3731920"/>
        <c:axId val="1713729040"/>
      </c:lineChart>
      <c:catAx>
        <c:axId val="171373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13729040"/>
        <c:crosses val="autoZero"/>
        <c:auto val="1"/>
        <c:lblAlgn val="ctr"/>
        <c:lblOffset val="100"/>
        <c:noMultiLvlLbl val="0"/>
      </c:catAx>
      <c:valAx>
        <c:axId val="1713729040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13731920"/>
        <c:crosses val="autoZero"/>
        <c:crossBetween val="between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Gini_Urb!$E$1</c:f>
              <c:strCache>
                <c:ptCount val="1"/>
                <c:pt idx="0">
                  <c:v>Gini Urbano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Gini_Urb!$D$2:$D$19</c:f>
              <c:numCache>
                <c:formatCode>General</c:formatCode>
                <c:ptCount val="18"/>
                <c:pt idx="0">
                  <c:v>1991</c:v>
                </c:pt>
                <c:pt idx="1">
                  <c:v>1993</c:v>
                </c:pt>
                <c:pt idx="2">
                  <c:v>1995</c:v>
                </c:pt>
                <c:pt idx="3">
                  <c:v>1997</c:v>
                </c:pt>
                <c:pt idx="4">
                  <c:v>1999</c:v>
                </c:pt>
                <c:pt idx="5">
                  <c:v>2001</c:v>
                </c:pt>
                <c:pt idx="6">
                  <c:v>2003</c:v>
                </c:pt>
                <c:pt idx="7">
                  <c:v>2005</c:v>
                </c:pt>
                <c:pt idx="8">
                  <c:v>2007</c:v>
                </c:pt>
                <c:pt idx="9">
                  <c:v>2009</c:v>
                </c:pt>
                <c:pt idx="10">
                  <c:v>2011</c:v>
                </c:pt>
                <c:pt idx="11">
                  <c:v>2013</c:v>
                </c:pt>
                <c:pt idx="12">
                  <c:v>2015</c:v>
                </c:pt>
                <c:pt idx="13">
                  <c:v>2017</c:v>
                </c:pt>
                <c:pt idx="14">
                  <c:v>2019</c:v>
                </c:pt>
                <c:pt idx="15">
                  <c:v>2021</c:v>
                </c:pt>
                <c:pt idx="16">
                  <c:v>2023</c:v>
                </c:pt>
                <c:pt idx="17">
                  <c:v>2024</c:v>
                </c:pt>
              </c:numCache>
            </c:numRef>
          </c:cat>
          <c:val>
            <c:numRef>
              <c:f>Gini_Urb!$E$2:$E$19</c:f>
              <c:numCache>
                <c:formatCode>0.00</c:formatCode>
                <c:ptCount val="18"/>
                <c:pt idx="0">
                  <c:v>0.48699999999999999</c:v>
                </c:pt>
                <c:pt idx="1">
                  <c:v>0.51</c:v>
                </c:pt>
                <c:pt idx="2">
                  <c:v>0.49199999999999999</c:v>
                </c:pt>
                <c:pt idx="3">
                  <c:v>0.47899999999999998</c:v>
                </c:pt>
                <c:pt idx="4">
                  <c:v>0.53400000000000003</c:v>
                </c:pt>
                <c:pt idx="5">
                  <c:v>0.57499999999999996</c:v>
                </c:pt>
                <c:pt idx="6">
                  <c:v>0.53800000000000003</c:v>
                </c:pt>
                <c:pt idx="7">
                  <c:v>0.52400000000000002</c:v>
                </c:pt>
                <c:pt idx="8">
                  <c:v>0.52100000000000002</c:v>
                </c:pt>
                <c:pt idx="9">
                  <c:v>0.48199999999999998</c:v>
                </c:pt>
                <c:pt idx="10">
                  <c:v>0.44130000000000003</c:v>
                </c:pt>
                <c:pt idx="11">
                  <c:v>0.4708</c:v>
                </c:pt>
                <c:pt idx="12">
                  <c:v>0.45440000000000003</c:v>
                </c:pt>
                <c:pt idx="13">
                  <c:v>0.43490000000000001</c:v>
                </c:pt>
                <c:pt idx="14">
                  <c:v>0.4536</c:v>
                </c:pt>
                <c:pt idx="15">
                  <c:v>0.46550000000000002</c:v>
                </c:pt>
                <c:pt idx="16">
                  <c:v>0.43208480286619461</c:v>
                </c:pt>
                <c:pt idx="17">
                  <c:v>0.44600000000000001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5-4E2A-9E28-F447F0972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212896"/>
        <c:axId val="26213376"/>
      </c:lineChart>
      <c:catAx>
        <c:axId val="2621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6213376"/>
        <c:crosses val="autoZero"/>
        <c:auto val="1"/>
        <c:lblAlgn val="ctr"/>
        <c:lblOffset val="100"/>
        <c:noMultiLvlLbl val="0"/>
      </c:catAx>
      <c:valAx>
        <c:axId val="26213376"/>
        <c:scaling>
          <c:orientation val="minMax"/>
          <c:max val="0.60000000000000009"/>
          <c:min val="0.30000000000000004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621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Gini_rur!$E$3</c:f>
              <c:strCache>
                <c:ptCount val="1"/>
                <c:pt idx="0">
                  <c:v>Gini Rural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5.4194444444444448E-2"/>
                  <c:y val="-5.7835739282589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D0-4AB7-BC41-DCF8F0A173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Gini_rur!$D$4:$D$16</c:f>
              <c:numCache>
                <c:formatCode>General</c:formatCode>
                <c:ptCount val="13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Gini_rur!$E$4:$E$16</c:f>
              <c:numCache>
                <c:formatCode>0.00</c:formatCode>
                <c:ptCount val="13"/>
                <c:pt idx="0">
                  <c:v>0.51900000000000002</c:v>
                </c:pt>
                <c:pt idx="1">
                  <c:v>0.49299999999999999</c:v>
                </c:pt>
                <c:pt idx="2">
                  <c:v>0.49399999999999999</c:v>
                </c:pt>
                <c:pt idx="3">
                  <c:v>0.50090000000000001</c:v>
                </c:pt>
                <c:pt idx="4">
                  <c:v>0.45490000000000003</c:v>
                </c:pt>
                <c:pt idx="5">
                  <c:v>0.45639999999999997</c:v>
                </c:pt>
                <c:pt idx="6">
                  <c:v>0.44069999999999998</c:v>
                </c:pt>
                <c:pt idx="7">
                  <c:v>0.4748</c:v>
                </c:pt>
                <c:pt idx="8">
                  <c:v>0.46289999999999998</c:v>
                </c:pt>
                <c:pt idx="9">
                  <c:v>0.44400000000000001</c:v>
                </c:pt>
                <c:pt idx="10">
                  <c:v>0.42570000000000002</c:v>
                </c:pt>
                <c:pt idx="11">
                  <c:v>0.47033434176234301</c:v>
                </c:pt>
                <c:pt idx="12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0-4AB7-BC41-DCF8F0A17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939312"/>
        <c:axId val="1459938832"/>
      </c:lineChart>
      <c:catAx>
        <c:axId val="145993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59938832"/>
        <c:crosses val="autoZero"/>
        <c:auto val="1"/>
        <c:lblAlgn val="ctr"/>
        <c:lblOffset val="100"/>
        <c:noMultiLvlLbl val="1"/>
      </c:catAx>
      <c:valAx>
        <c:axId val="1459938832"/>
        <c:scaling>
          <c:orientation val="minMax"/>
          <c:max val="0.70000000000000007"/>
          <c:min val="0.2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59939312"/>
        <c:crosses val="autoZero"/>
        <c:crossBetween val="between"/>
        <c:min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Brechas</a:t>
            </a:r>
            <a:r>
              <a:rPr lang="es-EC" baseline="0"/>
              <a:t> salariales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'Brechas salariales'!$N$2</c:f>
              <c:strCache>
                <c:ptCount val="1"/>
                <c:pt idx="0">
                  <c:v>Calificados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'Brechas salariales'!$K$3:$K$14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'Brechas salariales'!$N$3:$N$14</c:f>
              <c:numCache>
                <c:formatCode>0.00</c:formatCode>
                <c:ptCount val="12"/>
                <c:pt idx="0">
                  <c:v>2.6995192307692304</c:v>
                </c:pt>
                <c:pt idx="1">
                  <c:v>2.8451228592702904</c:v>
                </c:pt>
                <c:pt idx="2">
                  <c:v>2.7412534059945499</c:v>
                </c:pt>
                <c:pt idx="3">
                  <c:v>2.8552181351582551</c:v>
                </c:pt>
                <c:pt idx="4">
                  <c:v>2.4204730024165113</c:v>
                </c:pt>
                <c:pt idx="5">
                  <c:v>2.1431347150259064</c:v>
                </c:pt>
                <c:pt idx="6">
                  <c:v>2.5202214188883869</c:v>
                </c:pt>
                <c:pt idx="7">
                  <c:v>2.3310087173100871</c:v>
                </c:pt>
                <c:pt idx="8">
                  <c:v>2.1832648356054531</c:v>
                </c:pt>
                <c:pt idx="9">
                  <c:v>2.3590838105153571</c:v>
                </c:pt>
                <c:pt idx="10">
                  <c:v>2.4592289418701165</c:v>
                </c:pt>
                <c:pt idx="11">
                  <c:v>2.2349001965042921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4-4EF7-BD4C-8D11A6A7E78A}"/>
            </c:ext>
          </c:extLst>
        </c:ser>
        <c:ser>
          <c:idx val="1"/>
          <c:order val="1"/>
          <c:tx>
            <c:strRef>
              <c:f>'Brechas salariales'!$O$2</c:f>
              <c:strCache>
                <c:ptCount val="1"/>
                <c:pt idx="0">
                  <c:v>Publico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numRef>
              <c:f>'Brechas salariales'!$K$3:$K$14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'Brechas salariales'!$O$3:$O$14</c:f>
              <c:numCache>
                <c:formatCode>0.00</c:formatCode>
                <c:ptCount val="12"/>
                <c:pt idx="0">
                  <c:v>1.2806629834254146</c:v>
                </c:pt>
                <c:pt idx="1">
                  <c:v>1.5938123752495008</c:v>
                </c:pt>
                <c:pt idx="2">
                  <c:v>1.6350198110332217</c:v>
                </c:pt>
                <c:pt idx="3">
                  <c:v>1.9676504664918593</c:v>
                </c:pt>
                <c:pt idx="4">
                  <c:v>2.0450779866308628</c:v>
                </c:pt>
                <c:pt idx="5">
                  <c:v>2.0226507200390529</c:v>
                </c:pt>
                <c:pt idx="6">
                  <c:v>1.7909489447548108</c:v>
                </c:pt>
                <c:pt idx="7">
                  <c:v>1.8422667388558023</c:v>
                </c:pt>
                <c:pt idx="8">
                  <c:v>1.9392502427003211</c:v>
                </c:pt>
                <c:pt idx="9">
                  <c:v>1.8735366999914551</c:v>
                </c:pt>
                <c:pt idx="10">
                  <c:v>2.0285568215016068</c:v>
                </c:pt>
                <c:pt idx="11">
                  <c:v>1.9829907619230567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4-4EF7-BD4C-8D11A6A7E78A}"/>
            </c:ext>
          </c:extLst>
        </c:ser>
        <c:ser>
          <c:idx val="2"/>
          <c:order val="2"/>
          <c:tx>
            <c:strRef>
              <c:f>'Brechas salariales'!$P$2</c:f>
              <c:strCache>
                <c:ptCount val="1"/>
                <c:pt idx="0">
                  <c:v>Sexo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'Brechas salariales'!$K$3:$K$14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'Brechas salariales'!$P$3:$P$14</c:f>
              <c:numCache>
                <c:formatCode>0.00</c:formatCode>
                <c:ptCount val="12"/>
                <c:pt idx="0">
                  <c:v>1.4855769230769231</c:v>
                </c:pt>
                <c:pt idx="1">
                  <c:v>1.3920668058455117</c:v>
                </c:pt>
                <c:pt idx="2">
                  <c:v>1.319536831731954</c:v>
                </c:pt>
                <c:pt idx="3">
                  <c:v>1.3742121235701501</c:v>
                </c:pt>
                <c:pt idx="4">
                  <c:v>1.2848529143065963</c:v>
                </c:pt>
                <c:pt idx="5">
                  <c:v>1.2453318877243704</c:v>
                </c:pt>
                <c:pt idx="6">
                  <c:v>1.2620528384496739</c:v>
                </c:pt>
                <c:pt idx="7">
                  <c:v>1.2761573332112275</c:v>
                </c:pt>
                <c:pt idx="8">
                  <c:v>1.2409532009960207</c:v>
                </c:pt>
                <c:pt idx="9">
                  <c:v>1.2242062097246631</c:v>
                </c:pt>
                <c:pt idx="10">
                  <c:v>1.2084241649753189</c:v>
                </c:pt>
                <c:pt idx="11">
                  <c:v>1.1772562090595564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94-4EF7-BD4C-8D11A6A7E78A}"/>
            </c:ext>
          </c:extLst>
        </c:ser>
        <c:ser>
          <c:idx val="3"/>
          <c:order val="3"/>
          <c:tx>
            <c:strRef>
              <c:f>'Brechas salariales'!$Q$2</c:f>
              <c:strCache>
                <c:ptCount val="1"/>
                <c:pt idx="0">
                  <c:v>Etnia</c:v>
                </c:pt>
              </c:strCache>
            </c:strRef>
          </c:tx>
          <c:spPr>
            <a:ln w="9525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'Brechas salariales'!$K$3:$K$14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'Brechas salariales'!$Q$3:$Q$14</c:f>
              <c:numCache>
                <c:formatCode>0.00</c:formatCode>
                <c:ptCount val="12"/>
                <c:pt idx="0">
                  <c:v>1.6272991287512102</c:v>
                </c:pt>
                <c:pt idx="1">
                  <c:v>1.605868564979599</c:v>
                </c:pt>
                <c:pt idx="2">
                  <c:v>1.7790985636453687</c:v>
                </c:pt>
                <c:pt idx="3">
                  <c:v>1.908150816243537</c:v>
                </c:pt>
                <c:pt idx="4">
                  <c:v>1.6877069641856435</c:v>
                </c:pt>
                <c:pt idx="5">
                  <c:v>1.6730556736081597</c:v>
                </c:pt>
                <c:pt idx="6">
                  <c:v>1.6558813383925493</c:v>
                </c:pt>
                <c:pt idx="7">
                  <c:v>1.7050469103849886</c:v>
                </c:pt>
                <c:pt idx="8">
                  <c:v>1.5715570161840391</c:v>
                </c:pt>
                <c:pt idx="9">
                  <c:v>1.5832751507457949</c:v>
                </c:pt>
                <c:pt idx="10">
                  <c:v>1.5707403134966409</c:v>
                </c:pt>
                <c:pt idx="11">
                  <c:v>1.5978422378706636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94-4EF7-BD4C-8D11A6A7E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2122320"/>
        <c:axId val="1102111280"/>
      </c:lineChart>
      <c:catAx>
        <c:axId val="110212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02111280"/>
        <c:crosses val="autoZero"/>
        <c:auto val="1"/>
        <c:lblAlgn val="ctr"/>
        <c:lblOffset val="100"/>
        <c:noMultiLvlLbl val="0"/>
      </c:catAx>
      <c:valAx>
        <c:axId val="110211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0212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Coeficiente</a:t>
            </a:r>
            <a:r>
              <a:rPr lang="es-EC" baseline="0"/>
              <a:t> de Gini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[1]Hoja1!$A$3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([1]Hoja1!$B$2,[1]Hoja1!$D$2,[1]Hoja1!$F$2:$I$2,[1]Hoja1!$L$2:$M$2)</c:f>
              <c:strCache>
                <c:ptCount val="8"/>
                <c:pt idx="0">
                  <c:v>Bolivia</c:v>
                </c:pt>
                <c:pt idx="1">
                  <c:v>Brasil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  <c:pt idx="5">
                  <c:v>Perú</c:v>
                </c:pt>
                <c:pt idx="6">
                  <c:v>Costa Rica</c:v>
                </c:pt>
                <c:pt idx="7">
                  <c:v>ALC</c:v>
                </c:pt>
              </c:strCache>
            </c:strRef>
          </c:cat>
          <c:val>
            <c:numRef>
              <c:f>([1]Hoja1!$B$3,[1]Hoja1!$D$3,[1]Hoja1!$F$3:$I$3,[1]Hoja1!$L$3:$M$3)</c:f>
              <c:numCache>
                <c:formatCode>General</c:formatCode>
                <c:ptCount val="8"/>
                <c:pt idx="0">
                  <c:v>0.63400000333786011</c:v>
                </c:pt>
                <c:pt idx="1">
                  <c:v>0.55199998617172241</c:v>
                </c:pt>
                <c:pt idx="2">
                  <c:v>0.55000001192092896</c:v>
                </c:pt>
                <c:pt idx="3">
                  <c:v>0.5220000147819519</c:v>
                </c:pt>
                <c:pt idx="4">
                  <c:v>0.52399998903274536</c:v>
                </c:pt>
                <c:pt idx="5">
                  <c:v>0.52499997615814209</c:v>
                </c:pt>
                <c:pt idx="6">
                  <c:v>0.47600001096725458</c:v>
                </c:pt>
                <c:pt idx="7">
                  <c:v>0.52300000190734863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A-45D9-8792-E37DA408EE23}"/>
            </c:ext>
          </c:extLst>
        </c:ser>
        <c:ser>
          <c:idx val="1"/>
          <c:order val="1"/>
          <c:tx>
            <c:strRef>
              <c:f>[1]Hoja1!$A$4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([1]Hoja1!$B$2,[1]Hoja1!$D$2,[1]Hoja1!$F$2:$I$2,[1]Hoja1!$L$2:$M$2)</c:f>
              <c:strCache>
                <c:ptCount val="8"/>
                <c:pt idx="0">
                  <c:v>Bolivia</c:v>
                </c:pt>
                <c:pt idx="1">
                  <c:v>Brasil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  <c:pt idx="5">
                  <c:v>Perú</c:v>
                </c:pt>
                <c:pt idx="6">
                  <c:v>Costa Rica</c:v>
                </c:pt>
                <c:pt idx="7">
                  <c:v>ALC</c:v>
                </c:pt>
              </c:strCache>
            </c:strRef>
          </c:cat>
          <c:val>
            <c:numRef>
              <c:f>([1]Hoja1!$B$4,[1]Hoja1!$D$4,[1]Hoja1!$F$4:$I$4,[1]Hoja1!$L$4:$M$4)</c:f>
              <c:numCache>
                <c:formatCode>General</c:formatCode>
                <c:ptCount val="8"/>
                <c:pt idx="0">
                  <c:v>0.47099998593330378</c:v>
                </c:pt>
                <c:pt idx="1">
                  <c:v>0.52600002288818359</c:v>
                </c:pt>
                <c:pt idx="2">
                  <c:v>0.54500001668930054</c:v>
                </c:pt>
                <c:pt idx="3">
                  <c:v>0.45800000429153442</c:v>
                </c:pt>
                <c:pt idx="4">
                  <c:v>0.5350000262260437</c:v>
                </c:pt>
                <c:pt idx="5">
                  <c:v>0.46299999952316279</c:v>
                </c:pt>
                <c:pt idx="6">
                  <c:v>0.5</c:v>
                </c:pt>
                <c:pt idx="7">
                  <c:v>0.48399999737739557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A-45D9-8792-E37DA408EE23}"/>
            </c:ext>
          </c:extLst>
        </c:ser>
        <c:ser>
          <c:idx val="2"/>
          <c:order val="2"/>
          <c:tx>
            <c:strRef>
              <c:f>[1]Hoja1!$A$5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([1]Hoja1!$B$2,[1]Hoja1!$D$2,[1]Hoja1!$F$2:$I$2,[1]Hoja1!$L$2:$M$2)</c:f>
              <c:strCache>
                <c:ptCount val="8"/>
                <c:pt idx="0">
                  <c:v>Bolivia</c:v>
                </c:pt>
                <c:pt idx="1">
                  <c:v>Brasil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  <c:pt idx="5">
                  <c:v>Perú</c:v>
                </c:pt>
                <c:pt idx="6">
                  <c:v>Costa Rica</c:v>
                </c:pt>
                <c:pt idx="7">
                  <c:v>ALC</c:v>
                </c:pt>
              </c:strCache>
            </c:strRef>
          </c:cat>
          <c:val>
            <c:numRef>
              <c:f>([1]Hoja1!$B$5,[1]Hoja1!$D$5,[1]Hoja1!$F$5:$I$5,[1]Hoja1!$L$5:$M$5)</c:f>
              <c:numCache>
                <c:formatCode>General</c:formatCode>
                <c:ptCount val="8"/>
                <c:pt idx="0">
                  <c:v>0.45</c:v>
                </c:pt>
                <c:pt idx="1">
                  <c:v>0.51099997758865356</c:v>
                </c:pt>
                <c:pt idx="2">
                  <c:v>0.52399998903274536</c:v>
                </c:pt>
                <c:pt idx="3">
                  <c:v>0.46200001239776611</c:v>
                </c:pt>
                <c:pt idx="4">
                  <c:v>0.49399998784065252</c:v>
                </c:pt>
                <c:pt idx="5">
                  <c:v>0.44900000095367432</c:v>
                </c:pt>
                <c:pt idx="6">
                  <c:v>0.49599999189376831</c:v>
                </c:pt>
                <c:pt idx="7">
                  <c:v>0.46599999070167542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5A-45D9-8792-E37DA408EE23}"/>
            </c:ext>
          </c:extLst>
        </c:ser>
        <c:ser>
          <c:idx val="3"/>
          <c:order val="3"/>
          <c:tx>
            <c:strRef>
              <c:f>[1]Hoja1!$A$6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([1]Hoja1!$B$2,[1]Hoja1!$D$2,[1]Hoja1!$F$2:$I$2,[1]Hoja1!$L$2:$M$2)</c:f>
              <c:strCache>
                <c:ptCount val="8"/>
                <c:pt idx="0">
                  <c:v>Bolivia</c:v>
                </c:pt>
                <c:pt idx="1">
                  <c:v>Brasil</c:v>
                </c:pt>
                <c:pt idx="2">
                  <c:v>Colombia</c:v>
                </c:pt>
                <c:pt idx="3">
                  <c:v>Ecuador</c:v>
                </c:pt>
                <c:pt idx="4">
                  <c:v>Paraguay</c:v>
                </c:pt>
                <c:pt idx="5">
                  <c:v>Perú</c:v>
                </c:pt>
                <c:pt idx="6">
                  <c:v>Costa Rica</c:v>
                </c:pt>
                <c:pt idx="7">
                  <c:v>ALC</c:v>
                </c:pt>
              </c:strCache>
            </c:strRef>
          </c:cat>
          <c:val>
            <c:numRef>
              <c:f>([1]Hoja1!$B$6,[1]Hoja1!$D$6,[1]Hoja1!$F$6:$I$6,[1]Hoja1!$L$6:$M$6)</c:f>
              <c:numCache>
                <c:formatCode>General</c:formatCode>
                <c:ptCount val="8"/>
                <c:pt idx="0">
                  <c:v>0.43599998950958252</c:v>
                </c:pt>
                <c:pt idx="1">
                  <c:v>0.51499998569488525</c:v>
                </c:pt>
                <c:pt idx="2">
                  <c:v>0.56000000238418579</c:v>
                </c:pt>
                <c:pt idx="3">
                  <c:v>0.44200000166893011</c:v>
                </c:pt>
                <c:pt idx="4">
                  <c:v>0.46000000834465032</c:v>
                </c:pt>
                <c:pt idx="5">
                  <c:v>0.41699999570846558</c:v>
                </c:pt>
                <c:pt idx="6">
                  <c:v>0.47999998927116388</c:v>
                </c:pt>
                <c:pt idx="7">
                  <c:v>0.45199999213218689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5A-45D9-8792-E37DA408E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388463"/>
        <c:axId val="1700396143"/>
      </c:barChart>
      <c:catAx>
        <c:axId val="170038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00396143"/>
        <c:crosses val="autoZero"/>
        <c:auto val="1"/>
        <c:lblAlgn val="ctr"/>
        <c:lblOffset val="100"/>
        <c:noMultiLvlLbl val="0"/>
      </c:catAx>
      <c:valAx>
        <c:axId val="170039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0038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C"/>
              <a:t>Crecimiento PIB y Gini nacional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35014836795247E-2"/>
          <c:y val="0.17617887351077066"/>
          <c:w val="0.89910979228486643"/>
          <c:h val="0.6806005227607419"/>
        </c:manualLayout>
      </c:layout>
      <c:barChart>
        <c:barDir val="col"/>
        <c:grouping val="clustered"/>
        <c:varyColors val="0"/>
        <c:ser>
          <c:idx val="2"/>
          <c:order val="0"/>
          <c:tx>
            <c:v>Crecimiento PIB</c:v>
          </c:tx>
          <c:spPr>
            <a:solidFill>
              <a:srgbClr val="339966"/>
            </a:solidFill>
            <a:ln w="25400">
              <a:noFill/>
            </a:ln>
          </c:spPr>
          <c:invertIfNegative val="0"/>
          <c:cat>
            <c:numRef>
              <c:f>[2]PIB!$H$21:$H$45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[2]PIB!$J$21:$J$45</c:f>
              <c:numCache>
                <c:formatCode>General</c:formatCode>
                <c:ptCount val="25"/>
                <c:pt idx="0">
                  <c:v>1.0918016472027725E-2</c:v>
                </c:pt>
                <c:pt idx="1">
                  <c:v>4.2062718574878977E-2</c:v>
                </c:pt>
                <c:pt idx="2">
                  <c:v>4.9280954961137491E-2</c:v>
                </c:pt>
                <c:pt idx="3">
                  <c:v>2.8845003651206458E-2</c:v>
                </c:pt>
                <c:pt idx="4">
                  <c:v>6.8323973664651483E-2</c:v>
                </c:pt>
                <c:pt idx="5">
                  <c:v>5.3986224399434235E-2</c:v>
                </c:pt>
                <c:pt idx="6">
                  <c:v>4.3411319857763919E-2</c:v>
                </c:pt>
                <c:pt idx="7">
                  <c:v>1.902428597004846E-2</c:v>
                </c:pt>
                <c:pt idx="8">
                  <c:v>6.5649206822471884E-2</c:v>
                </c:pt>
                <c:pt idx="9">
                  <c:v>1.0910129698310955E-2</c:v>
                </c:pt>
                <c:pt idx="10">
                  <c:v>4.029137879866207E-2</c:v>
                </c:pt>
                <c:pt idx="11">
                  <c:v>8.4814765633282274E-2</c:v>
                </c:pt>
                <c:pt idx="12">
                  <c:v>5.7832123361720056E-2</c:v>
                </c:pt>
                <c:pt idx="13">
                  <c:v>7.2112365367915876E-2</c:v>
                </c:pt>
                <c:pt idx="14">
                  <c:v>4.2260652038845548E-2</c:v>
                </c:pt>
                <c:pt idx="15">
                  <c:v>1.1969210928761687E-3</c:v>
                </c:pt>
                <c:pt idx="16">
                  <c:v>-6.8795424587794196E-3</c:v>
                </c:pt>
                <c:pt idx="17">
                  <c:v>5.9703988095484162E-2</c:v>
                </c:pt>
                <c:pt idx="18">
                  <c:v>1.0442946067960701E-2</c:v>
                </c:pt>
                <c:pt idx="19">
                  <c:v>1.654044646002939E-3</c:v>
                </c:pt>
                <c:pt idx="20">
                  <c:v>-9.2450961916586416E-2</c:v>
                </c:pt>
                <c:pt idx="21">
                  <c:v>9.4218926903363087E-2</c:v>
                </c:pt>
                <c:pt idx="22">
                  <c:v>5.868423548623114E-2</c:v>
                </c:pt>
                <c:pt idx="23">
                  <c:v>1.9882381398423465E-2</c:v>
                </c:pt>
                <c:pt idx="24">
                  <c:v>-2.001254763410254E-2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5-4819-940A-73EA93815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0608191"/>
        <c:axId val="1"/>
      </c:barChart>
      <c:lineChart>
        <c:grouping val="standard"/>
        <c:varyColors val="0"/>
        <c:ser>
          <c:idx val="0"/>
          <c:order val="1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[2]PIB!$K$21:$K$45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25-4819-940A-73EA93815BDD}"/>
            </c:ext>
          </c:extLst>
        </c:ser>
        <c:ser>
          <c:idx val="1"/>
          <c:order val="2"/>
          <c:spPr>
            <a:ln w="1905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[2]PIB!$L$21:$L$45</c:f>
              <c:numCache>
                <c:formatCode>General</c:formatCode>
                <c:ptCount val="25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3.9E-2</c:v>
                </c:pt>
                <c:pt idx="4">
                  <c:v>3.9E-2</c:v>
                </c:pt>
                <c:pt idx="5">
                  <c:v>3.9E-2</c:v>
                </c:pt>
                <c:pt idx="6">
                  <c:v>3.9E-2</c:v>
                </c:pt>
                <c:pt idx="7">
                  <c:v>3.9E-2</c:v>
                </c:pt>
                <c:pt idx="8">
                  <c:v>3.9E-2</c:v>
                </c:pt>
                <c:pt idx="9">
                  <c:v>3.9E-2</c:v>
                </c:pt>
                <c:pt idx="10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25-4819-940A-73EA93815BDD}"/>
            </c:ext>
          </c:extLst>
        </c:ser>
        <c:ser>
          <c:idx val="3"/>
          <c:order val="3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[2]PIB!$M$21:$M$45</c:f>
              <c:numCache>
                <c:formatCode>General</c:formatCode>
                <c:ptCount val="25"/>
                <c:pt idx="11">
                  <c:v>4.3999999999999997E-2</c:v>
                </c:pt>
                <c:pt idx="12">
                  <c:v>4.3999999999999997E-2</c:v>
                </c:pt>
                <c:pt idx="13">
                  <c:v>4.3999999999999997E-2</c:v>
                </c:pt>
                <c:pt idx="14">
                  <c:v>4.3999999999999997E-2</c:v>
                </c:pt>
                <c:pt idx="15">
                  <c:v>4.3999999999999997E-2</c:v>
                </c:pt>
                <c:pt idx="16">
                  <c:v>4.3999999999999997E-2</c:v>
                </c:pt>
                <c:pt idx="1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25-4819-940A-73EA93815BDD}"/>
            </c:ext>
          </c:extLst>
        </c:ser>
        <c:ser>
          <c:idx val="4"/>
          <c:order val="4"/>
          <c:spPr>
            <a:ln w="25400">
              <a:solidFill>
                <a:schemeClr val="tx1"/>
              </a:solidFill>
            </a:ln>
          </c:spPr>
          <c:marker>
            <c:symbol val="none"/>
          </c:marker>
          <c:val>
            <c:numRef>
              <c:f>[2]PIB!$N$21:$N$45</c:f>
              <c:numCache>
                <c:formatCode>General</c:formatCode>
                <c:ptCount val="25"/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25-4819-940A-73EA93815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608191"/>
        <c:axId val="1"/>
      </c:lineChart>
      <c:lineChart>
        <c:grouping val="standard"/>
        <c:varyColors val="0"/>
        <c:ser>
          <c:idx val="5"/>
          <c:order val="5"/>
          <c:tx>
            <c:v>Gini nacional</c:v>
          </c:tx>
          <c:spPr>
            <a:ln w="19050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[2]PIB!$P$21:$P$45</c:f>
              <c:numCache>
                <c:formatCode>General</c:formatCode>
                <c:ptCount val="25"/>
                <c:pt idx="0">
                  <c:v>0.56999999999999995</c:v>
                </c:pt>
                <c:pt idx="1">
                  <c:v>0.58099999999999996</c:v>
                </c:pt>
                <c:pt idx="2">
                  <c:v>0.52690000000000003</c:v>
                </c:pt>
                <c:pt idx="3">
                  <c:v>0.55859999999999999</c:v>
                </c:pt>
                <c:pt idx="4">
                  <c:v>0.56799999999999995</c:v>
                </c:pt>
                <c:pt idx="5">
                  <c:v>0.54800000000000004</c:v>
                </c:pt>
                <c:pt idx="6">
                  <c:v>0.52600000000000002</c:v>
                </c:pt>
                <c:pt idx="7">
                  <c:v>0.55000000000000004</c:v>
                </c:pt>
                <c:pt idx="8">
                  <c:v>0.51400000000000001</c:v>
                </c:pt>
                <c:pt idx="9">
                  <c:v>0.504</c:v>
                </c:pt>
                <c:pt idx="10">
                  <c:v>0.50800000000000001</c:v>
                </c:pt>
                <c:pt idx="11">
                  <c:v>0.47320000000000001</c:v>
                </c:pt>
                <c:pt idx="12">
                  <c:v>0.47670000000000001</c:v>
                </c:pt>
                <c:pt idx="13">
                  <c:v>0.48499999999999999</c:v>
                </c:pt>
                <c:pt idx="14">
                  <c:v>0.46650000000000003</c:v>
                </c:pt>
                <c:pt idx="15">
                  <c:v>0.47570000000000001</c:v>
                </c:pt>
                <c:pt idx="16">
                  <c:v>0.46600000000000003</c:v>
                </c:pt>
                <c:pt idx="17">
                  <c:v>0.45929999999999999</c:v>
                </c:pt>
                <c:pt idx="18">
                  <c:v>0.46899999999999997</c:v>
                </c:pt>
                <c:pt idx="19">
                  <c:v>0.47339999999999999</c:v>
                </c:pt>
                <c:pt idx="20">
                  <c:v>0.49769999999999998</c:v>
                </c:pt>
                <c:pt idx="21">
                  <c:v>0.48599999999999999</c:v>
                </c:pt>
                <c:pt idx="22">
                  <c:v>0.46590505436662949</c:v>
                </c:pt>
                <c:pt idx="23">
                  <c:v>0.45720593564451528</c:v>
                </c:pt>
                <c:pt idx="24">
                  <c:v>0.46326720790839798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25-4819-940A-73EA93815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976287"/>
        <c:axId val="1467967167"/>
      </c:lineChart>
      <c:catAx>
        <c:axId val="1530608191"/>
        <c:scaling>
          <c:orientation val="minMax"/>
        </c:scaling>
        <c:delete val="0"/>
        <c:axPos val="b"/>
        <c:numFmt formatCode="0_ ;[Red]\-0\ 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15000000000000002"/>
          <c:min val="-0.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530608191"/>
        <c:crossesAt val="1"/>
        <c:crossBetween val="between"/>
      </c:valAx>
      <c:valAx>
        <c:axId val="1467967167"/>
        <c:scaling>
          <c:orientation val="minMax"/>
          <c:min val="0.2"/>
        </c:scaling>
        <c:delete val="0"/>
        <c:axPos val="r"/>
        <c:numFmt formatCode="General" sourceLinked="1"/>
        <c:majorTickMark val="out"/>
        <c:minorTickMark val="none"/>
        <c:tickLblPos val="nextTo"/>
        <c:crossAx val="1467976287"/>
        <c:crosses val="max"/>
        <c:crossBetween val="between"/>
        <c:minorUnit val="5.000000000000001E-2"/>
      </c:valAx>
      <c:catAx>
        <c:axId val="1467976287"/>
        <c:scaling>
          <c:orientation val="minMax"/>
        </c:scaling>
        <c:delete val="1"/>
        <c:axPos val="b"/>
        <c:majorTickMark val="out"/>
        <c:minorTickMark val="none"/>
        <c:tickLblPos val="nextTo"/>
        <c:crossAx val="1467967167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C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C"/>
              <a:t>Crecimiento PIB y Gini urbano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35014836795247E-2"/>
          <c:y val="0.17617887351077066"/>
          <c:w val="0.89910979228486643"/>
          <c:h val="0.70820576775729116"/>
        </c:manualLayout>
      </c:layout>
      <c:barChart>
        <c:barDir val="col"/>
        <c:grouping val="clustered"/>
        <c:varyColors val="0"/>
        <c:ser>
          <c:idx val="2"/>
          <c:order val="0"/>
          <c:tx>
            <c:v>Crecimiento PIB</c:v>
          </c:tx>
          <c:spPr>
            <a:solidFill>
              <a:srgbClr val="339966"/>
            </a:solidFill>
            <a:ln w="25400">
              <a:noFill/>
            </a:ln>
          </c:spPr>
          <c:invertIfNegative val="0"/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[2]PIB!$J$11:$J$45</c:f>
              <c:numCache>
                <c:formatCode>General</c:formatCode>
                <c:ptCount val="35"/>
                <c:pt idx="0">
                  <c:v>3.679914053088762E-2</c:v>
                </c:pt>
                <c:pt idx="1">
                  <c:v>4.2913424640470543E-2</c:v>
                </c:pt>
                <c:pt idx="2">
                  <c:v>2.1143106497896857E-2</c:v>
                </c:pt>
                <c:pt idx="3">
                  <c:v>1.9732181367861923E-2</c:v>
                </c:pt>
                <c:pt idx="4">
                  <c:v>4.2582504274162547E-2</c:v>
                </c:pt>
                <c:pt idx="5">
                  <c:v>2.2525486522510407E-2</c:v>
                </c:pt>
                <c:pt idx="6">
                  <c:v>1.7317476260786169E-2</c:v>
                </c:pt>
                <c:pt idx="7">
                  <c:v>4.3278647576757701E-2</c:v>
                </c:pt>
                <c:pt idx="8">
                  <c:v>3.2665293457098787E-2</c:v>
                </c:pt>
                <c:pt idx="9">
                  <c:v>-4.7393858536338151E-2</c:v>
                </c:pt>
                <c:pt idx="10">
                  <c:v>1.0918016472027725E-2</c:v>
                </c:pt>
                <c:pt idx="11">
                  <c:v>4.2062718574878977E-2</c:v>
                </c:pt>
                <c:pt idx="12">
                  <c:v>4.9280954961137491E-2</c:v>
                </c:pt>
                <c:pt idx="13">
                  <c:v>2.8845003651206458E-2</c:v>
                </c:pt>
                <c:pt idx="14">
                  <c:v>6.8323973664651483E-2</c:v>
                </c:pt>
                <c:pt idx="15">
                  <c:v>5.3986224399434235E-2</c:v>
                </c:pt>
                <c:pt idx="16">
                  <c:v>4.3411319857763919E-2</c:v>
                </c:pt>
                <c:pt idx="17">
                  <c:v>1.902428597004846E-2</c:v>
                </c:pt>
                <c:pt idx="18">
                  <c:v>6.5649206822471884E-2</c:v>
                </c:pt>
                <c:pt idx="19">
                  <c:v>1.0910129698310955E-2</c:v>
                </c:pt>
                <c:pt idx="20">
                  <c:v>4.029137879866207E-2</c:v>
                </c:pt>
                <c:pt idx="21">
                  <c:v>8.4814765633282274E-2</c:v>
                </c:pt>
                <c:pt idx="22">
                  <c:v>5.7832123361720056E-2</c:v>
                </c:pt>
                <c:pt idx="23">
                  <c:v>7.2112365367915876E-2</c:v>
                </c:pt>
                <c:pt idx="24">
                  <c:v>4.2260652038845548E-2</c:v>
                </c:pt>
                <c:pt idx="25">
                  <c:v>1.1969210928761687E-3</c:v>
                </c:pt>
                <c:pt idx="26">
                  <c:v>-6.8795424587794196E-3</c:v>
                </c:pt>
                <c:pt idx="27">
                  <c:v>5.9703988095484162E-2</c:v>
                </c:pt>
                <c:pt idx="28">
                  <c:v>1.0442946067960701E-2</c:v>
                </c:pt>
                <c:pt idx="29">
                  <c:v>1.654044646002939E-3</c:v>
                </c:pt>
                <c:pt idx="30">
                  <c:v>-9.2450961916586416E-2</c:v>
                </c:pt>
                <c:pt idx="31">
                  <c:v>9.4218926903363087E-2</c:v>
                </c:pt>
                <c:pt idx="32">
                  <c:v>5.868423548623114E-2</c:v>
                </c:pt>
                <c:pt idx="33">
                  <c:v>1.9882381398423465E-2</c:v>
                </c:pt>
                <c:pt idx="34">
                  <c:v>-2.001254763410254E-2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C-4AFE-9648-07F400914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0608191"/>
        <c:axId val="1"/>
      </c:barChart>
      <c:lineChart>
        <c:grouping val="standard"/>
        <c:varyColors val="0"/>
        <c:ser>
          <c:idx val="0"/>
          <c:order val="1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[2]PIB!$K$11:$K$45</c:f>
              <c:numCache>
                <c:formatCode>General</c:formatCode>
                <c:ptCount val="35"/>
                <c:pt idx="0">
                  <c:v>2.1999999999999999E-2</c:v>
                </c:pt>
                <c:pt idx="1">
                  <c:v>2.1999999999999999E-2</c:v>
                </c:pt>
                <c:pt idx="2">
                  <c:v>2.1999999999999999E-2</c:v>
                </c:pt>
                <c:pt idx="3">
                  <c:v>2.1999999999999999E-2</c:v>
                </c:pt>
                <c:pt idx="4">
                  <c:v>2.1999999999999999E-2</c:v>
                </c:pt>
                <c:pt idx="5">
                  <c:v>2.1999999999999999E-2</c:v>
                </c:pt>
                <c:pt idx="6">
                  <c:v>2.1999999999999999E-2</c:v>
                </c:pt>
                <c:pt idx="7">
                  <c:v>2.1999999999999999E-2</c:v>
                </c:pt>
                <c:pt idx="8">
                  <c:v>2.1999999999999999E-2</c:v>
                </c:pt>
                <c:pt idx="9">
                  <c:v>2.1999999999999999E-2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2C-4AFE-9648-07F400914A83}"/>
            </c:ext>
          </c:extLst>
        </c:ser>
        <c:ser>
          <c:idx val="1"/>
          <c:order val="2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[2]PIB!$L$11:$L$45</c:f>
              <c:numCache>
                <c:formatCode>General</c:formatCode>
                <c:ptCount val="35"/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3.9E-2</c:v>
                </c:pt>
                <c:pt idx="14">
                  <c:v>3.9E-2</c:v>
                </c:pt>
                <c:pt idx="15">
                  <c:v>3.9E-2</c:v>
                </c:pt>
                <c:pt idx="16">
                  <c:v>3.9E-2</c:v>
                </c:pt>
                <c:pt idx="17">
                  <c:v>3.9E-2</c:v>
                </c:pt>
                <c:pt idx="18">
                  <c:v>3.9E-2</c:v>
                </c:pt>
                <c:pt idx="19">
                  <c:v>3.9E-2</c:v>
                </c:pt>
                <c:pt idx="20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2C-4AFE-9648-07F400914A83}"/>
            </c:ext>
          </c:extLst>
        </c:ser>
        <c:ser>
          <c:idx val="3"/>
          <c:order val="3"/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[2]PIB!$M$11:$M$45</c:f>
              <c:numCache>
                <c:formatCode>General</c:formatCode>
                <c:ptCount val="35"/>
                <c:pt idx="21">
                  <c:v>4.3999999999999997E-2</c:v>
                </c:pt>
                <c:pt idx="22">
                  <c:v>4.3999999999999997E-2</c:v>
                </c:pt>
                <c:pt idx="23">
                  <c:v>4.3999999999999997E-2</c:v>
                </c:pt>
                <c:pt idx="24">
                  <c:v>4.3999999999999997E-2</c:v>
                </c:pt>
                <c:pt idx="25">
                  <c:v>4.3999999999999997E-2</c:v>
                </c:pt>
                <c:pt idx="26">
                  <c:v>4.3999999999999997E-2</c:v>
                </c:pt>
                <c:pt idx="27">
                  <c:v>4.3999999999999997E-2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2C-4AFE-9648-07F400914A83}"/>
            </c:ext>
          </c:extLst>
        </c:ser>
        <c:ser>
          <c:idx val="4"/>
          <c:order val="4"/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[2]PIB!$N$11:$N$45</c:f>
              <c:numCache>
                <c:formatCode>General</c:formatCode>
                <c:ptCount val="35"/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2C-4AFE-9648-07F400914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608191"/>
        <c:axId val="1"/>
      </c:lineChart>
      <c:lineChart>
        <c:grouping val="standard"/>
        <c:varyColors val="0"/>
        <c:ser>
          <c:idx val="5"/>
          <c:order val="5"/>
          <c:tx>
            <c:v>Gini urbano</c:v>
          </c:tx>
          <c:spPr>
            <a:ln w="25400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[2]PIB!$H$11:$H$45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[2]PIB!$O$11:$O$45</c:f>
              <c:numCache>
                <c:formatCode>General</c:formatCode>
                <c:ptCount val="35"/>
                <c:pt idx="1">
                  <c:v>0.48699999999999999</c:v>
                </c:pt>
                <c:pt idx="3">
                  <c:v>0.51</c:v>
                </c:pt>
                <c:pt idx="5">
                  <c:v>0.49199999999999999</c:v>
                </c:pt>
                <c:pt idx="7">
                  <c:v>0.47899999999999998</c:v>
                </c:pt>
                <c:pt idx="9">
                  <c:v>0.53400000000000003</c:v>
                </c:pt>
                <c:pt idx="11">
                  <c:v>0.57499999999999996</c:v>
                </c:pt>
                <c:pt idx="13">
                  <c:v>0.53800000000000003</c:v>
                </c:pt>
                <c:pt idx="15">
                  <c:v>0.52400000000000002</c:v>
                </c:pt>
                <c:pt idx="17">
                  <c:v>0.52100000000000002</c:v>
                </c:pt>
                <c:pt idx="19">
                  <c:v>0.48199999999999998</c:v>
                </c:pt>
                <c:pt idx="21">
                  <c:v>0.44130000000000003</c:v>
                </c:pt>
                <c:pt idx="23">
                  <c:v>0.4708</c:v>
                </c:pt>
                <c:pt idx="25">
                  <c:v>0.45440000000000003</c:v>
                </c:pt>
                <c:pt idx="27">
                  <c:v>0.43490000000000001</c:v>
                </c:pt>
                <c:pt idx="29">
                  <c:v>0.4536</c:v>
                </c:pt>
                <c:pt idx="31">
                  <c:v>0.46550000000000002</c:v>
                </c:pt>
                <c:pt idx="33">
                  <c:v>0.43208480286619461</c:v>
                </c:pt>
                <c:pt idx="34">
                  <c:v>0.44600000000000001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2C-4AFE-9648-07F400914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976287"/>
        <c:axId val="1467967167"/>
      </c:lineChart>
      <c:catAx>
        <c:axId val="1530608191"/>
        <c:scaling>
          <c:orientation val="minMax"/>
        </c:scaling>
        <c:delete val="0"/>
        <c:axPos val="b"/>
        <c:numFmt formatCode="0_ ;[Red]\-0\ 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0.15000000000000002"/>
          <c:min val="-0.1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530608191"/>
        <c:crossesAt val="1"/>
        <c:crossBetween val="between"/>
      </c:valAx>
      <c:valAx>
        <c:axId val="1467967167"/>
        <c:scaling>
          <c:orientation val="minMax"/>
          <c:min val="0.2"/>
        </c:scaling>
        <c:delete val="0"/>
        <c:axPos val="r"/>
        <c:numFmt formatCode="General" sourceLinked="1"/>
        <c:majorTickMark val="out"/>
        <c:minorTickMark val="none"/>
        <c:tickLblPos val="nextTo"/>
        <c:crossAx val="1467976287"/>
        <c:crosses val="max"/>
        <c:crossBetween val="between"/>
        <c:majorUnit val="0.1"/>
        <c:minorUnit val="5.000000000000001E-2"/>
      </c:valAx>
      <c:catAx>
        <c:axId val="1467976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7967167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</c:legend>
    <c:plotVisOnly val="1"/>
    <c:dispBlanksAs val="span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C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C"/>
              <a:t>Gini y Salario</a:t>
            </a:r>
            <a:r>
              <a:rPr lang="es-EC" baseline="0"/>
              <a:t> real nacional</a:t>
            </a:r>
            <a:endParaRPr lang="es-EC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35014836795247E-2"/>
          <c:y val="0.17617887351077066"/>
          <c:w val="0.89910979228486643"/>
          <c:h val="0.6265744584028573"/>
        </c:manualLayout>
      </c:layout>
      <c:barChart>
        <c:barDir val="col"/>
        <c:grouping val="clustered"/>
        <c:varyColors val="0"/>
        <c:ser>
          <c:idx val="0"/>
          <c:order val="1"/>
          <c:spPr>
            <a:ln w="381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[2]PIB!$H$21:$H$45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[2]PIB!$K$21:$K$45</c:f>
              <c:numCache>
                <c:formatCode>General</c:formatCode>
                <c:ptCount val="25"/>
              </c:numCache>
            </c:numRef>
          </c:val>
          <c:extLst>
            <c:ext xmlns:c16="http://schemas.microsoft.com/office/drawing/2014/chart" uri="{C3380CC4-5D6E-409C-BE32-E72D297353CC}">
              <c16:uniqueId val="{00000000-11B6-46AE-A02A-4DE2D43B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0608191"/>
        <c:axId val="1"/>
      </c:barChart>
      <c:lineChart>
        <c:grouping val="standard"/>
        <c:varyColors val="0"/>
        <c:ser>
          <c:idx val="5"/>
          <c:order val="2"/>
          <c:tx>
            <c:v>Salario real</c:v>
          </c:tx>
          <c:spPr>
            <a:ln w="19050">
              <a:solidFill>
                <a:schemeClr val="accent2"/>
              </a:solidFill>
              <a:prstDash val="dashDot"/>
            </a:ln>
          </c:spPr>
          <c:marker>
            <c:symbol val="none"/>
          </c:marker>
          <c:cat>
            <c:numRef>
              <c:f>[2]PIB!$H$21:$H$45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[2]PIB!$R$21:$R$45</c:f>
              <c:numCache>
                <c:formatCode>General</c:formatCode>
                <c:ptCount val="25"/>
                <c:pt idx="0">
                  <c:v>128.23826327507734</c:v>
                </c:pt>
                <c:pt idx="1">
                  <c:v>157.3806332514113</c:v>
                </c:pt>
                <c:pt idx="2">
                  <c:v>176.22800822087018</c:v>
                </c:pt>
                <c:pt idx="3">
                  <c:v>205.79403282512371</c:v>
                </c:pt>
                <c:pt idx="4">
                  <c:v>210.75484676461451</c:v>
                </c:pt>
                <c:pt idx="5">
                  <c:v>226.00095948146205</c:v>
                </c:pt>
                <c:pt idx="6">
                  <c:v>234.34345161977507</c:v>
                </c:pt>
                <c:pt idx="7">
                  <c:v>240.98976464318463</c:v>
                </c:pt>
                <c:pt idx="8">
                  <c:v>260.51268937301006</c:v>
                </c:pt>
                <c:pt idx="9">
                  <c:v>272.22134489331444</c:v>
                </c:pt>
                <c:pt idx="10">
                  <c:v>290.04057177687099</c:v>
                </c:pt>
                <c:pt idx="11">
                  <c:v>302.67194633620693</c:v>
                </c:pt>
                <c:pt idx="12">
                  <c:v>321.39108224283484</c:v>
                </c:pt>
                <c:pt idx="13">
                  <c:v>340.8051906738541</c:v>
                </c:pt>
                <c:pt idx="14">
                  <c:v>351.49242545338785</c:v>
                </c:pt>
                <c:pt idx="15">
                  <c:v>354</c:v>
                </c:pt>
                <c:pt idx="16">
                  <c:v>361.94694902159983</c:v>
                </c:pt>
                <c:pt idx="17">
                  <c:v>371.57818013196334</c:v>
                </c:pt>
                <c:pt idx="18">
                  <c:v>381.46246673546256</c:v>
                </c:pt>
                <c:pt idx="19">
                  <c:v>389.62297767952481</c:v>
                </c:pt>
                <c:pt idx="20">
                  <c:v>399.28157645869896</c:v>
                </c:pt>
                <c:pt idx="21">
                  <c:v>391.68032080025347</c:v>
                </c:pt>
                <c:pt idx="22">
                  <c:v>401.16618438996767</c:v>
                </c:pt>
                <c:pt idx="23">
                  <c:v>419.10732730514644</c:v>
                </c:pt>
                <c:pt idx="24">
                  <c:v>426.16568419256492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B6-46AE-A02A-4DE2D43B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0608191"/>
        <c:axId val="1"/>
      </c:lineChart>
      <c:lineChart>
        <c:grouping val="standard"/>
        <c:varyColors val="0"/>
        <c:ser>
          <c:idx val="2"/>
          <c:order val="0"/>
          <c:tx>
            <c:v>Gini nacional</c:v>
          </c:tx>
          <c:spPr>
            <a:ln w="19050">
              <a:prstDash val="sysDot"/>
            </a:ln>
          </c:spPr>
          <c:marker>
            <c:symbol val="none"/>
          </c:marker>
          <c:cat>
            <c:numRef>
              <c:f>[2]PIB!$H$21:$H$45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[2]PIB!$P$21:$P$45</c:f>
              <c:numCache>
                <c:formatCode>General</c:formatCode>
                <c:ptCount val="25"/>
                <c:pt idx="0">
                  <c:v>0.56999999999999995</c:v>
                </c:pt>
                <c:pt idx="1">
                  <c:v>0.58099999999999996</c:v>
                </c:pt>
                <c:pt idx="2">
                  <c:v>0.52690000000000003</c:v>
                </c:pt>
                <c:pt idx="3">
                  <c:v>0.55859999999999999</c:v>
                </c:pt>
                <c:pt idx="4">
                  <c:v>0.56799999999999995</c:v>
                </c:pt>
                <c:pt idx="5">
                  <c:v>0.54800000000000004</c:v>
                </c:pt>
                <c:pt idx="6">
                  <c:v>0.52600000000000002</c:v>
                </c:pt>
                <c:pt idx="7">
                  <c:v>0.55000000000000004</c:v>
                </c:pt>
                <c:pt idx="8">
                  <c:v>0.51400000000000001</c:v>
                </c:pt>
                <c:pt idx="9">
                  <c:v>0.504</c:v>
                </c:pt>
                <c:pt idx="10">
                  <c:v>0.50800000000000001</c:v>
                </c:pt>
                <c:pt idx="11">
                  <c:v>0.47320000000000001</c:v>
                </c:pt>
                <c:pt idx="12">
                  <c:v>0.47670000000000001</c:v>
                </c:pt>
                <c:pt idx="13">
                  <c:v>0.48499999999999999</c:v>
                </c:pt>
                <c:pt idx="14">
                  <c:v>0.46650000000000003</c:v>
                </c:pt>
                <c:pt idx="15">
                  <c:v>0.47570000000000001</c:v>
                </c:pt>
                <c:pt idx="16">
                  <c:v>0.46600000000000003</c:v>
                </c:pt>
                <c:pt idx="17">
                  <c:v>0.45929999999999999</c:v>
                </c:pt>
                <c:pt idx="18">
                  <c:v>0.46899999999999997</c:v>
                </c:pt>
                <c:pt idx="19">
                  <c:v>0.47339999999999999</c:v>
                </c:pt>
                <c:pt idx="20">
                  <c:v>0.49769999999999998</c:v>
                </c:pt>
                <c:pt idx="21">
                  <c:v>0.48599999999999999</c:v>
                </c:pt>
                <c:pt idx="22">
                  <c:v>0.46590505436662949</c:v>
                </c:pt>
                <c:pt idx="23">
                  <c:v>0.45720593564451528</c:v>
                </c:pt>
                <c:pt idx="24">
                  <c:v>0.46326720790839798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B6-46AE-A02A-4DE2D43B7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564143"/>
        <c:axId val="478559343"/>
      </c:lineChart>
      <c:catAx>
        <c:axId val="1530608191"/>
        <c:scaling>
          <c:orientation val="minMax"/>
        </c:scaling>
        <c:delete val="0"/>
        <c:axPos val="b"/>
        <c:numFmt formatCode="0_ ;[Red]\-0\ 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480"/>
          <c:min val="10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C"/>
          </a:p>
        </c:txPr>
        <c:crossAx val="1530608191"/>
        <c:crossesAt val="1"/>
        <c:crossBetween val="between"/>
      </c:valAx>
      <c:valAx>
        <c:axId val="478559343"/>
        <c:scaling>
          <c:orientation val="minMax"/>
          <c:min val="0.2"/>
        </c:scaling>
        <c:delete val="0"/>
        <c:axPos val="r"/>
        <c:numFmt formatCode="General" sourceLinked="1"/>
        <c:majorTickMark val="out"/>
        <c:minorTickMark val="none"/>
        <c:tickLblPos val="nextTo"/>
        <c:crossAx val="478564143"/>
        <c:crosses val="max"/>
        <c:crossBetween val="between"/>
        <c:minorUnit val="5.000000000000001E-2"/>
      </c:valAx>
      <c:catAx>
        <c:axId val="4785641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8559343"/>
        <c:crosses val="autoZero"/>
        <c:auto val="1"/>
        <c:lblAlgn val="ctr"/>
        <c:lblOffset val="100"/>
        <c:noMultiLvlLbl val="0"/>
      </c:catAx>
    </c:plotArea>
    <c:legend>
      <c:legendPos val="b"/>
      <c:legendEntry>
        <c:idx val="0"/>
        <c:delete val="1"/>
      </c:legendEntry>
      <c:overlay val="1"/>
    </c:legend>
    <c:plotVisOnly val="1"/>
    <c:dispBlanksAs val="span"/>
    <c:showDLblsOverMax val="0"/>
  </c:chart>
  <c:spPr>
    <a:ln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C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Impuesto</a:t>
            </a:r>
            <a:r>
              <a:rPr lang="es-EC" baseline="0"/>
              <a:t> a la renta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'[3]Resumen '!$E$16</c:f>
              <c:strCache>
                <c:ptCount val="1"/>
                <c:pt idx="0">
                  <c:v>Valor Mensual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'[3]Resumen '!$A$17:$A$26</c:f>
              <c:numCache>
                <c:formatCode>General</c:formatCode>
                <c:ptCount val="10"/>
                <c:pt idx="0">
                  <c:v>2002</c:v>
                </c:pt>
                <c:pt idx="1">
                  <c:v>2006</c:v>
                </c:pt>
                <c:pt idx="2">
                  <c:v>2008</c:v>
                </c:pt>
                <c:pt idx="3">
                  <c:v>2010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'[3]Resumen '!$E$17:$E$26</c:f>
              <c:numCache>
                <c:formatCode>General</c:formatCode>
                <c:ptCount val="10"/>
                <c:pt idx="0">
                  <c:v>6945.1668635227252</c:v>
                </c:pt>
                <c:pt idx="1">
                  <c:v>7498.990451832803</c:v>
                </c:pt>
                <c:pt idx="2">
                  <c:v>6816.7487052604301</c:v>
                </c:pt>
                <c:pt idx="3">
                  <c:v>9145.3417788394636</c:v>
                </c:pt>
                <c:pt idx="4">
                  <c:v>9461.6197761738549</c:v>
                </c:pt>
                <c:pt idx="5">
                  <c:v>9500.7692455376891</c:v>
                </c:pt>
                <c:pt idx="6">
                  <c:v>9594.2380121685801</c:v>
                </c:pt>
                <c:pt idx="7">
                  <c:v>8194.3243734958069</c:v>
                </c:pt>
                <c:pt idx="8">
                  <c:v>8276.1839093765884</c:v>
                </c:pt>
                <c:pt idx="9">
                  <c:v>8217.3629833999476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13-4BCD-831F-7824ADBD8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5330768"/>
        <c:axId val="1945334128"/>
      </c:lineChart>
      <c:lineChart>
        <c:grouping val="standard"/>
        <c:varyColors val="0"/>
        <c:ser>
          <c:idx val="0"/>
          <c:order val="0"/>
          <c:tx>
            <c:strRef>
              <c:f>'[3]Resumen '!$D$16</c:f>
              <c:strCache>
                <c:ptCount val="1"/>
                <c:pt idx="0">
                  <c:v>Tasa impositiva sobre el rango superior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'[3]Resumen '!$A$17:$A$26</c:f>
              <c:numCache>
                <c:formatCode>General</c:formatCode>
                <c:ptCount val="10"/>
                <c:pt idx="0">
                  <c:v>2002</c:v>
                </c:pt>
                <c:pt idx="1">
                  <c:v>2006</c:v>
                </c:pt>
                <c:pt idx="2">
                  <c:v>2008</c:v>
                </c:pt>
                <c:pt idx="3">
                  <c:v>2010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'[3]Resumen '!$D$17:$D$26</c:f>
              <c:numCache>
                <c:formatCode>General</c:formatCode>
                <c:ptCount val="10"/>
                <c:pt idx="0">
                  <c:v>0.2</c:v>
                </c:pt>
                <c:pt idx="1">
                  <c:v>0.25</c:v>
                </c:pt>
                <c:pt idx="2">
                  <c:v>0.25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0.35</c:v>
                </c:pt>
                <c:pt idx="8">
                  <c:v>0.37</c:v>
                </c:pt>
                <c:pt idx="9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3-4BCD-831F-7824ADBD8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817552"/>
        <c:axId val="1454817072"/>
      </c:lineChart>
      <c:catAx>
        <c:axId val="194533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45334128"/>
        <c:crosses val="autoZero"/>
        <c:auto val="1"/>
        <c:lblAlgn val="ctr"/>
        <c:lblOffset val="100"/>
        <c:noMultiLvlLbl val="0"/>
      </c:catAx>
      <c:valAx>
        <c:axId val="194533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45330768"/>
        <c:crosses val="autoZero"/>
        <c:crossBetween val="between"/>
      </c:valAx>
      <c:valAx>
        <c:axId val="14548170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454817552"/>
        <c:crosses val="max"/>
        <c:crossBetween val="between"/>
      </c:valAx>
      <c:catAx>
        <c:axId val="14548175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4817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Participación</a:t>
            </a:r>
            <a:r>
              <a:rPr lang="es-EC" baseline="0"/>
              <a:t> en el Ingreso Nacional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[4]Ingreso!$F$4</c:f>
              <c:strCache>
                <c:ptCount val="1"/>
                <c:pt idx="0">
                  <c:v>1% más rico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[4]Ingreso!$E$5:$E$17</c:f>
              <c:numCache>
                <c:formatCode>General</c:formatCode>
                <c:ptCount val="13"/>
                <c:pt idx="1">
                  <c:v>2001</c:v>
                </c:pt>
                <c:pt idx="2">
                  <c:v>2003</c:v>
                </c:pt>
                <c:pt idx="3">
                  <c:v>2005</c:v>
                </c:pt>
                <c:pt idx="4">
                  <c:v>2007</c:v>
                </c:pt>
                <c:pt idx="5">
                  <c:v>2009</c:v>
                </c:pt>
                <c:pt idx="6">
                  <c:v>2011</c:v>
                </c:pt>
                <c:pt idx="7">
                  <c:v>2013</c:v>
                </c:pt>
                <c:pt idx="8">
                  <c:v>2015</c:v>
                </c:pt>
                <c:pt idx="9">
                  <c:v>2017</c:v>
                </c:pt>
                <c:pt idx="10">
                  <c:v>2019</c:v>
                </c:pt>
                <c:pt idx="11">
                  <c:v>2021</c:v>
                </c:pt>
                <c:pt idx="12">
                  <c:v>2023</c:v>
                </c:pt>
              </c:numCache>
            </c:numRef>
          </c:cat>
          <c:val>
            <c:numRef>
              <c:f>[4]Ingreso!$F$5:$F$17</c:f>
              <c:numCache>
                <c:formatCode>General</c:formatCode>
                <c:ptCount val="13"/>
                <c:pt idx="1">
                  <c:v>0.19500000000000001</c:v>
                </c:pt>
                <c:pt idx="2">
                  <c:v>0.1983</c:v>
                </c:pt>
                <c:pt idx="3">
                  <c:v>0.18340000000000001</c:v>
                </c:pt>
                <c:pt idx="4">
                  <c:v>0.2064</c:v>
                </c:pt>
                <c:pt idx="5">
                  <c:v>0.1414</c:v>
                </c:pt>
                <c:pt idx="6">
                  <c:v>0.1313</c:v>
                </c:pt>
                <c:pt idx="7">
                  <c:v>0.15959999999999999</c:v>
                </c:pt>
                <c:pt idx="8">
                  <c:v>0.12470000000000001</c:v>
                </c:pt>
                <c:pt idx="9">
                  <c:v>0.13950000000000001</c:v>
                </c:pt>
                <c:pt idx="10">
                  <c:v>0.1406</c:v>
                </c:pt>
                <c:pt idx="11">
                  <c:v>0.1658</c:v>
                </c:pt>
                <c:pt idx="12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5D-4327-940F-1C80E6FDA0DE}"/>
            </c:ext>
          </c:extLst>
        </c:ser>
        <c:ser>
          <c:idx val="1"/>
          <c:order val="1"/>
          <c:tx>
            <c:strRef>
              <c:f>[4]Ingreso!$G$4</c:f>
              <c:strCache>
                <c:ptCount val="1"/>
                <c:pt idx="0">
                  <c:v>10% más rico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[4]Ingreso!$E$5:$E$17</c:f>
              <c:numCache>
                <c:formatCode>General</c:formatCode>
                <c:ptCount val="13"/>
                <c:pt idx="1">
                  <c:v>2001</c:v>
                </c:pt>
                <c:pt idx="2">
                  <c:v>2003</c:v>
                </c:pt>
                <c:pt idx="3">
                  <c:v>2005</c:v>
                </c:pt>
                <c:pt idx="4">
                  <c:v>2007</c:v>
                </c:pt>
                <c:pt idx="5">
                  <c:v>2009</c:v>
                </c:pt>
                <c:pt idx="6">
                  <c:v>2011</c:v>
                </c:pt>
                <c:pt idx="7">
                  <c:v>2013</c:v>
                </c:pt>
                <c:pt idx="8">
                  <c:v>2015</c:v>
                </c:pt>
                <c:pt idx="9">
                  <c:v>2017</c:v>
                </c:pt>
                <c:pt idx="10">
                  <c:v>2019</c:v>
                </c:pt>
                <c:pt idx="11">
                  <c:v>2021</c:v>
                </c:pt>
                <c:pt idx="12">
                  <c:v>2023</c:v>
                </c:pt>
              </c:numCache>
            </c:numRef>
          </c:cat>
          <c:val>
            <c:numRef>
              <c:f>[4]Ingreso!$G$5:$G$17</c:f>
              <c:numCache>
                <c:formatCode>General</c:formatCode>
                <c:ptCount val="13"/>
                <c:pt idx="1">
                  <c:v>0.54390000000000005</c:v>
                </c:pt>
                <c:pt idx="2">
                  <c:v>0.52650000000000008</c:v>
                </c:pt>
                <c:pt idx="3">
                  <c:v>0.51070000000000004</c:v>
                </c:pt>
                <c:pt idx="4">
                  <c:v>0.54330000000000001</c:v>
                </c:pt>
                <c:pt idx="5">
                  <c:v>0.48559999999999998</c:v>
                </c:pt>
                <c:pt idx="6">
                  <c:v>0.44640000000000002</c:v>
                </c:pt>
                <c:pt idx="7">
                  <c:v>0.4546</c:v>
                </c:pt>
                <c:pt idx="8">
                  <c:v>0.41889999999999999</c:v>
                </c:pt>
                <c:pt idx="9">
                  <c:v>0.42499999999999999</c:v>
                </c:pt>
                <c:pt idx="10">
                  <c:v>0.44040000000000001</c:v>
                </c:pt>
                <c:pt idx="11">
                  <c:v>0.47510000000000002</c:v>
                </c:pt>
                <c:pt idx="12">
                  <c:v>0.4521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5D-4327-940F-1C80E6FDA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779776"/>
        <c:axId val="1205773056"/>
      </c:lineChart>
      <c:catAx>
        <c:axId val="120577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05773056"/>
        <c:crossesAt val="0"/>
        <c:auto val="1"/>
        <c:lblAlgn val="ctr"/>
        <c:lblOffset val="100"/>
        <c:noMultiLvlLbl val="0"/>
      </c:catAx>
      <c:valAx>
        <c:axId val="120577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05779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Participación del 1% más rico en el ingreso total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[5]Ingreso!$A$4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[5]Ingreso!$B$2:$M$2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[5]Ingreso!$B$4:$M$4</c:f>
              <c:numCache>
                <c:formatCode>General</c:formatCode>
                <c:ptCount val="12"/>
                <c:pt idx="0">
                  <c:v>0.193</c:v>
                </c:pt>
                <c:pt idx="1">
                  <c:v>0.1177</c:v>
                </c:pt>
                <c:pt idx="2">
                  <c:v>0.22939999999999999</c:v>
                </c:pt>
                <c:pt idx="3">
                  <c:v>0.26619999999999999</c:v>
                </c:pt>
                <c:pt idx="4">
                  <c:v>0.22470000000000001</c:v>
                </c:pt>
                <c:pt idx="5">
                  <c:v>0.18340000000000001</c:v>
                </c:pt>
                <c:pt idx="6">
                  <c:v>0.193</c:v>
                </c:pt>
                <c:pt idx="7">
                  <c:v>0.2157</c:v>
                </c:pt>
                <c:pt idx="8">
                  <c:v>0.1449</c:v>
                </c:pt>
                <c:pt idx="9">
                  <c:v>0.16089999999999999</c:v>
                </c:pt>
                <c:pt idx="10">
                  <c:v>0.2026</c:v>
                </c:pt>
                <c:pt idx="11">
                  <c:v>0.20330000000000001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B-45F2-9651-2D103C4E06A8}"/>
            </c:ext>
          </c:extLst>
        </c:ser>
        <c:ser>
          <c:idx val="1"/>
          <c:order val="1"/>
          <c:tx>
            <c:strRef>
              <c:f>[5]Ingreso!$A$6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[5]Ingreso!$B$2:$M$2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[5]Ingreso!$B$6:$M$6</c:f>
              <c:numCache>
                <c:formatCode>General</c:formatCode>
                <c:ptCount val="12"/>
                <c:pt idx="0">
                  <c:v>0.19420000000000001</c:v>
                </c:pt>
                <c:pt idx="1">
                  <c:v>0.14069999999999999</c:v>
                </c:pt>
                <c:pt idx="2">
                  <c:v>0.22770000000000001</c:v>
                </c:pt>
                <c:pt idx="3">
                  <c:v>0.26540000000000002</c:v>
                </c:pt>
                <c:pt idx="4">
                  <c:v>0.189</c:v>
                </c:pt>
                <c:pt idx="5">
                  <c:v>0.12470000000000001</c:v>
                </c:pt>
                <c:pt idx="6">
                  <c:v>0.19420000000000001</c:v>
                </c:pt>
                <c:pt idx="7">
                  <c:v>0.22889999999999999</c:v>
                </c:pt>
                <c:pt idx="8">
                  <c:v>0.1431</c:v>
                </c:pt>
                <c:pt idx="9">
                  <c:v>0.2681</c:v>
                </c:pt>
                <c:pt idx="10">
                  <c:v>0.16450000000000001</c:v>
                </c:pt>
                <c:pt idx="11">
                  <c:v>0.21929999999999999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B-45F2-9651-2D103C4E06A8}"/>
            </c:ext>
          </c:extLst>
        </c:ser>
        <c:ser>
          <c:idx val="2"/>
          <c:order val="2"/>
          <c:tx>
            <c:strRef>
              <c:f>[5]Ingreso!$A$7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[5]Ingreso!$B$2:$M$2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[5]Ingreso!$B$7:$M$7</c:f>
              <c:numCache>
                <c:formatCode>General</c:formatCode>
                <c:ptCount val="12"/>
                <c:pt idx="0">
                  <c:v>0.1787</c:v>
                </c:pt>
                <c:pt idx="1">
                  <c:v>0.1236</c:v>
                </c:pt>
                <c:pt idx="2">
                  <c:v>0.21129999999999999</c:v>
                </c:pt>
                <c:pt idx="3">
                  <c:v>0.22040000000000001</c:v>
                </c:pt>
                <c:pt idx="4">
                  <c:v>0.1794</c:v>
                </c:pt>
                <c:pt idx="5">
                  <c:v>0.14000000000000001</c:v>
                </c:pt>
                <c:pt idx="6">
                  <c:v>0.1787</c:v>
                </c:pt>
                <c:pt idx="7">
                  <c:v>0.26900000000000002</c:v>
                </c:pt>
                <c:pt idx="8">
                  <c:v>0.14779999999999999</c:v>
                </c:pt>
                <c:pt idx="9">
                  <c:v>0.21579999999999999</c:v>
                </c:pt>
                <c:pt idx="10">
                  <c:v>0.1817</c:v>
                </c:pt>
                <c:pt idx="11">
                  <c:v>0.20180000000000001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B-45F2-9651-2D103C4E0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42303"/>
        <c:axId val="202249023"/>
      </c:barChart>
      <c:catAx>
        <c:axId val="20224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2249023"/>
        <c:crosses val="autoZero"/>
        <c:auto val="1"/>
        <c:lblAlgn val="ctr"/>
        <c:lblOffset val="100"/>
        <c:noMultiLvlLbl val="0"/>
      </c:catAx>
      <c:valAx>
        <c:axId val="20224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224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Participación</a:t>
            </a:r>
            <a:r>
              <a:rPr lang="es-EC" baseline="0"/>
              <a:t> en la Riqueza Nacional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[4]Riqueza!$F$3</c:f>
              <c:strCache>
                <c:ptCount val="1"/>
                <c:pt idx="0">
                  <c:v>1% más rico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[4]Riqueza!$E$4:$E$15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[4]Riqueza!$F$4:$F$15</c:f>
              <c:numCache>
                <c:formatCode>General</c:formatCode>
                <c:ptCount val="12"/>
                <c:pt idx="0">
                  <c:v>0.30459999999999998</c:v>
                </c:pt>
                <c:pt idx="1">
                  <c:v>0.2893</c:v>
                </c:pt>
                <c:pt idx="2">
                  <c:v>0.27850000000000003</c:v>
                </c:pt>
                <c:pt idx="3">
                  <c:v>0.30399999999999999</c:v>
                </c:pt>
                <c:pt idx="4">
                  <c:v>0.26119999999999999</c:v>
                </c:pt>
                <c:pt idx="5">
                  <c:v>0.2445</c:v>
                </c:pt>
                <c:pt idx="6">
                  <c:v>0.2467</c:v>
                </c:pt>
                <c:pt idx="7">
                  <c:v>0.23799999999999999</c:v>
                </c:pt>
                <c:pt idx="8">
                  <c:v>0.23930000000000001</c:v>
                </c:pt>
                <c:pt idx="9">
                  <c:v>0.2432</c:v>
                </c:pt>
                <c:pt idx="10">
                  <c:v>0.25530000000000003</c:v>
                </c:pt>
                <c:pt idx="11">
                  <c:v>0.24590000000000001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6-4DBE-B39F-332CF1F5B8D1}"/>
            </c:ext>
          </c:extLst>
        </c:ser>
        <c:ser>
          <c:idx val="1"/>
          <c:order val="1"/>
          <c:tx>
            <c:strRef>
              <c:f>[4]Riqueza!$G$3</c:f>
              <c:strCache>
                <c:ptCount val="1"/>
                <c:pt idx="0">
                  <c:v>10% más rico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[4]Riqueza!$E$4:$E$15</c:f>
              <c:numCache>
                <c:formatCode>General</c:formatCod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numCache>
            </c:numRef>
          </c:cat>
          <c:val>
            <c:numRef>
              <c:f>[4]Riqueza!$G$4:$G$15</c:f>
              <c:numCache>
                <c:formatCode>General</c:formatCode>
                <c:ptCount val="12"/>
                <c:pt idx="0">
                  <c:v>0.64419999999999999</c:v>
                </c:pt>
                <c:pt idx="1">
                  <c:v>0.63090000000000002</c:v>
                </c:pt>
                <c:pt idx="2">
                  <c:v>0.62130000000000007</c:v>
                </c:pt>
                <c:pt idx="3">
                  <c:v>0.64380000000000004</c:v>
                </c:pt>
                <c:pt idx="4">
                  <c:v>0.60550000000000004</c:v>
                </c:pt>
                <c:pt idx="5">
                  <c:v>0.58960000000000001</c:v>
                </c:pt>
                <c:pt idx="6">
                  <c:v>0.59179999999999999</c:v>
                </c:pt>
                <c:pt idx="7">
                  <c:v>0.58310000000000006</c:v>
                </c:pt>
                <c:pt idx="8">
                  <c:v>0.58450000000000002</c:v>
                </c:pt>
                <c:pt idx="9">
                  <c:v>0.58830000000000005</c:v>
                </c:pt>
                <c:pt idx="10">
                  <c:v>0.6</c:v>
                </c:pt>
                <c:pt idx="11">
                  <c:v>0.59100000000000008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6-4DBE-B39F-332CF1F5B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991216"/>
        <c:axId val="1246992656"/>
      </c:lineChart>
      <c:catAx>
        <c:axId val="124699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46992656"/>
        <c:crosses val="autoZero"/>
        <c:auto val="1"/>
        <c:lblAlgn val="ctr"/>
        <c:lblOffset val="100"/>
        <c:noMultiLvlLbl val="0"/>
      </c:catAx>
      <c:valAx>
        <c:axId val="12469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4699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C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Participación del 1% más rico en la riqueza total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[5]Riqueza!$A$3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[5]Riqueza!$B$1:$M$1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[5]Riqueza!$B$3:$M$3</c:f>
              <c:numCache>
                <c:formatCode>General</c:formatCode>
                <c:ptCount val="12"/>
                <c:pt idx="0">
                  <c:v>0.3306</c:v>
                </c:pt>
                <c:pt idx="1">
                  <c:v>0.2457</c:v>
                </c:pt>
                <c:pt idx="2">
                  <c:v>0.37619999999999998</c:v>
                </c:pt>
                <c:pt idx="3">
                  <c:v>0.38690000000000002</c:v>
                </c:pt>
                <c:pt idx="4">
                  <c:v>0.38450000000000001</c:v>
                </c:pt>
                <c:pt idx="5">
                  <c:v>0.27850000000000003</c:v>
                </c:pt>
                <c:pt idx="6">
                  <c:v>0.33040000000000003</c:v>
                </c:pt>
                <c:pt idx="7">
                  <c:v>0.36809999999999998</c:v>
                </c:pt>
                <c:pt idx="8">
                  <c:v>0.39119999999999999</c:v>
                </c:pt>
                <c:pt idx="9">
                  <c:v>0.37309999999999999</c:v>
                </c:pt>
                <c:pt idx="10">
                  <c:v>0.29720000000000002</c:v>
                </c:pt>
                <c:pt idx="11">
                  <c:v>0.35930000000000001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9-4A57-B419-FE17A8FBE95D}"/>
            </c:ext>
          </c:extLst>
        </c:ser>
        <c:ser>
          <c:idx val="1"/>
          <c:order val="1"/>
          <c:tx>
            <c:strRef>
              <c:f>[5]Riqueza!$A$5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[5]Riqueza!$B$1:$M$1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[5]Riqueza!$B$5:$M$5</c:f>
              <c:numCache>
                <c:formatCode>General</c:formatCode>
                <c:ptCount val="12"/>
                <c:pt idx="0">
                  <c:v>0.2928</c:v>
                </c:pt>
                <c:pt idx="1">
                  <c:v>0.24110000000000001</c:v>
                </c:pt>
                <c:pt idx="2">
                  <c:v>0.37469999999999998</c:v>
                </c:pt>
                <c:pt idx="3">
                  <c:v>0.39369999999999999</c:v>
                </c:pt>
                <c:pt idx="4">
                  <c:v>0.3498</c:v>
                </c:pt>
                <c:pt idx="5">
                  <c:v>0.23799999999999999</c:v>
                </c:pt>
                <c:pt idx="6">
                  <c:v>0.2928</c:v>
                </c:pt>
                <c:pt idx="7">
                  <c:v>0.35299999999999998</c:v>
                </c:pt>
                <c:pt idx="8">
                  <c:v>0.39200000000000002</c:v>
                </c:pt>
                <c:pt idx="9">
                  <c:v>0.40239999999999998</c:v>
                </c:pt>
                <c:pt idx="10">
                  <c:v>0.30549999999999999</c:v>
                </c:pt>
                <c:pt idx="11">
                  <c:v>0.3533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9-4A57-B419-FE17A8FBE95D}"/>
            </c:ext>
          </c:extLst>
        </c:ser>
        <c:ser>
          <c:idx val="2"/>
          <c:order val="2"/>
          <c:tx>
            <c:strRef>
              <c:f>[5]Riqueza!$A$6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[5]Riqueza!$B$1:$M$1</c:f>
              <c:strCache>
                <c:ptCount val="12"/>
                <c:pt idx="0">
                  <c:v>Bolivia</c:v>
                </c:pt>
                <c:pt idx="1">
                  <c:v>Argentina</c:v>
                </c:pt>
                <c:pt idx="2">
                  <c:v>Brasil</c:v>
                </c:pt>
                <c:pt idx="3">
                  <c:v>Chile</c:v>
                </c:pt>
                <c:pt idx="4">
                  <c:v>Colombia</c:v>
                </c:pt>
                <c:pt idx="5">
                  <c:v>Ecuador</c:v>
                </c:pt>
                <c:pt idx="6">
                  <c:v>Paraguay</c:v>
                </c:pt>
                <c:pt idx="7">
                  <c:v>Perú</c:v>
                </c:pt>
                <c:pt idx="8">
                  <c:v>Uruguay</c:v>
                </c:pt>
                <c:pt idx="9">
                  <c:v>Mexico</c:v>
                </c:pt>
                <c:pt idx="10">
                  <c:v>Costa Rica</c:v>
                </c:pt>
                <c:pt idx="11">
                  <c:v>ALC</c:v>
                </c:pt>
              </c:strCache>
            </c:strRef>
          </c:cat>
          <c:val>
            <c:numRef>
              <c:f>[5]Riqueza!$B$6:$M$6</c:f>
              <c:numCache>
                <c:formatCode>General</c:formatCode>
                <c:ptCount val="12"/>
                <c:pt idx="0">
                  <c:v>0.28349999999999997</c:v>
                </c:pt>
                <c:pt idx="1">
                  <c:v>0.24179999999999999</c:v>
                </c:pt>
                <c:pt idx="2">
                  <c:v>0.37019999999999997</c:v>
                </c:pt>
                <c:pt idx="3">
                  <c:v>0.36559999999999998</c:v>
                </c:pt>
                <c:pt idx="4">
                  <c:v>0.37930000000000003</c:v>
                </c:pt>
                <c:pt idx="5">
                  <c:v>0.24590000000000001</c:v>
                </c:pt>
                <c:pt idx="6">
                  <c:v>0.2833</c:v>
                </c:pt>
                <c:pt idx="7">
                  <c:v>0.36009999999999998</c:v>
                </c:pt>
                <c:pt idx="8">
                  <c:v>0.40139999999999998</c:v>
                </c:pt>
                <c:pt idx="9">
                  <c:v>0.37969999999999998</c:v>
                </c:pt>
                <c:pt idx="10">
                  <c:v>0.27710000000000001</c:v>
                </c:pt>
                <c:pt idx="11">
                  <c:v>0.34660000000000002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79-4A57-B419-FE17A8FBE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95263"/>
        <c:axId val="202185183"/>
      </c:barChart>
      <c:catAx>
        <c:axId val="20219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2185183"/>
        <c:crosses val="autoZero"/>
        <c:auto val="1"/>
        <c:lblAlgn val="ctr"/>
        <c:lblOffset val="100"/>
        <c:noMultiLvlLbl val="0"/>
      </c:catAx>
      <c:valAx>
        <c:axId val="20218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0219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Indice</a:t>
            </a:r>
            <a:r>
              <a:rPr lang="es-EC" baseline="0"/>
              <a:t> de Palma</a:t>
            </a:r>
            <a:endParaRPr lang="es-EC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[6]Hoja1!$B$2</c:f>
              <c:strCache>
                <c:ptCount val="1"/>
                <c:pt idx="0">
                  <c:v>ALC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[6]Hoja1!$A$3:$A$14</c:f>
              <c:strCach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strCache>
            </c:strRef>
          </c:cat>
          <c:val>
            <c:numRef>
              <c:f>[6]Hoja1!$B$3:$B$14</c:f>
              <c:numCache>
                <c:formatCode>General</c:formatCode>
                <c:ptCount val="12"/>
                <c:pt idx="0">
                  <c:v>17.79999923706055</c:v>
                </c:pt>
                <c:pt idx="1">
                  <c:v>17.39999961853027</c:v>
                </c:pt>
                <c:pt idx="2">
                  <c:v>16.79999923706055</c:v>
                </c:pt>
                <c:pt idx="3">
                  <c:v>15</c:v>
                </c:pt>
                <c:pt idx="4">
                  <c:v>13.30000019073486</c:v>
                </c:pt>
                <c:pt idx="5">
                  <c:v>12.80000019073486</c:v>
                </c:pt>
                <c:pt idx="6">
                  <c:v>12.30000019073486</c:v>
                </c:pt>
                <c:pt idx="7">
                  <c:v>11.39999961853027</c:v>
                </c:pt>
                <c:pt idx="8">
                  <c:v>11.30000019073486</c:v>
                </c:pt>
                <c:pt idx="9">
                  <c:v>11.19999980926514</c:v>
                </c:pt>
                <c:pt idx="10">
                  <c:v>11.39999961853027</c:v>
                </c:pt>
                <c:pt idx="11">
                  <c:v>10.69999980926514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0-4A35-8A48-04805EC1BE77}"/>
            </c:ext>
          </c:extLst>
        </c:ser>
        <c:ser>
          <c:idx val="1"/>
          <c:order val="1"/>
          <c:tx>
            <c:strRef>
              <c:f>[6]Hoja1!$C$2</c:f>
              <c:strCache>
                <c:ptCount val="1"/>
                <c:pt idx="0">
                  <c:v>Ecuador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[6]Hoja1!$A$3:$A$14</c:f>
              <c:strCache>
                <c:ptCount val="12"/>
                <c:pt idx="0">
                  <c:v>2001</c:v>
                </c:pt>
                <c:pt idx="1">
                  <c:v>2003</c:v>
                </c:pt>
                <c:pt idx="2">
                  <c:v>2005</c:v>
                </c:pt>
                <c:pt idx="3">
                  <c:v>2007</c:v>
                </c:pt>
                <c:pt idx="4">
                  <c:v>2009</c:v>
                </c:pt>
                <c:pt idx="5">
                  <c:v>2011</c:v>
                </c:pt>
                <c:pt idx="6">
                  <c:v>2013</c:v>
                </c:pt>
                <c:pt idx="7">
                  <c:v>2015</c:v>
                </c:pt>
                <c:pt idx="8">
                  <c:v>2017</c:v>
                </c:pt>
                <c:pt idx="9">
                  <c:v>2019</c:v>
                </c:pt>
                <c:pt idx="10">
                  <c:v>2021</c:v>
                </c:pt>
                <c:pt idx="11">
                  <c:v>2023</c:v>
                </c:pt>
              </c:strCache>
            </c:strRef>
          </c:cat>
          <c:val>
            <c:numRef>
              <c:f>[6]Hoja1!$C$3:$C$14</c:f>
              <c:numCache>
                <c:formatCode>General</c:formatCode>
                <c:ptCount val="12"/>
                <c:pt idx="0">
                  <c:v>16.60000038146973</c:v>
                </c:pt>
                <c:pt idx="1">
                  <c:v>19.79999923706055</c:v>
                </c:pt>
                <c:pt idx="2">
                  <c:v>15.19999980926514</c:v>
                </c:pt>
                <c:pt idx="3">
                  <c:v>16</c:v>
                </c:pt>
                <c:pt idx="4">
                  <c:v>12.5</c:v>
                </c:pt>
                <c:pt idx="5">
                  <c:v>10.60000038146973</c:v>
                </c:pt>
                <c:pt idx="6">
                  <c:v>10.80000019073486</c:v>
                </c:pt>
                <c:pt idx="7">
                  <c:v>10.5</c:v>
                </c:pt>
                <c:pt idx="8">
                  <c:v>9.8000001907348633</c:v>
                </c:pt>
                <c:pt idx="9">
                  <c:v>10.30000019073486</c:v>
                </c:pt>
                <c:pt idx="10">
                  <c:v>10.60000038146973</c:v>
                </c:pt>
                <c:pt idx="11">
                  <c:v>9.3999996185302734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70-4A35-8A48-04805EC1B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511167"/>
        <c:axId val="1661510207"/>
      </c:barChart>
      <c:catAx>
        <c:axId val="166151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61510207"/>
        <c:crosses val="autoZero"/>
        <c:auto val="1"/>
        <c:lblAlgn val="ctr"/>
        <c:lblOffset val="100"/>
        <c:noMultiLvlLbl val="0"/>
      </c:catAx>
      <c:valAx>
        <c:axId val="166151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66151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34924</xdr:colOff>
      <xdr:row>0</xdr:row>
      <xdr:rowOff>171450</xdr:rowOff>
    </xdr:from>
    <xdr:to>
      <xdr:col>14</xdr:col>
      <xdr:colOff>546099</xdr:colOff>
      <xdr:row>15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B39522-8160-E1DB-85F0-11889E27F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701674</xdr:colOff>
      <xdr:row>19</xdr:row>
      <xdr:rowOff>19050</xdr:rowOff>
    </xdr:from>
    <xdr:to>
      <xdr:col>14</xdr:col>
      <xdr:colOff>387350</xdr:colOff>
      <xdr:row>34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53795E-887E-77F1-D7B0-164F69B06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3174</xdr:colOff>
      <xdr:row>1</xdr:row>
      <xdr:rowOff>165100</xdr:rowOff>
    </xdr:from>
    <xdr:to>
      <xdr:col>13</xdr:col>
      <xdr:colOff>253999</xdr:colOff>
      <xdr:row>16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7D8E3B-F0D3-A414-964D-23E0C10C3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536575</xdr:colOff>
      <xdr:row>2</xdr:row>
      <xdr:rowOff>82550</xdr:rowOff>
    </xdr:from>
    <xdr:to>
      <xdr:col>13</xdr:col>
      <xdr:colOff>536575</xdr:colOff>
      <xdr:row>17</xdr:row>
      <xdr:rowOff>63500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C7D6E5-7413-0C68-4FDF-50C9E61CB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727075</xdr:colOff>
      <xdr:row>1</xdr:row>
      <xdr:rowOff>431800</xdr:rowOff>
    </xdr:from>
    <xdr:to>
      <xdr:col>23</xdr:col>
      <xdr:colOff>727075</xdr:colOff>
      <xdr:row>16</xdr:row>
      <xdr:rowOff>44450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CEFB57E5-C01F-A9E8-658C-482D15287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</xdr:row>
      <xdr:rowOff>13162</xdr:rowOff>
    </xdr:from>
    <xdr:to>
      <xdr:col>12</xdr:col>
      <xdr:colOff>32657</xdr:colOff>
      <xdr:row>25</xdr:row>
      <xdr:rowOff>12755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6426BD-4A0E-8046-02B6-EC3A032DE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4771" y="764276"/>
          <a:ext cx="4800600" cy="3526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10886</xdr:colOff>
      <xdr:row>51</xdr:row>
      <xdr:rowOff>1</xdr:rowOff>
    </xdr:from>
    <xdr:to>
      <xdr:col>12</xdr:col>
      <xdr:colOff>32657</xdr:colOff>
      <xdr:row>69</xdr:row>
      <xdr:rowOff>184739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28725D1-4992-20CF-E580-2A1B6B7A8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5657" y="9089572"/>
          <a:ext cx="4789714" cy="3515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74</xdr:row>
      <xdr:rowOff>0</xdr:rowOff>
    </xdr:from>
    <xdr:to>
      <xdr:col>12</xdr:col>
      <xdr:colOff>22206</xdr:colOff>
      <xdr:row>93</xdr:row>
      <xdr:rowOff>-1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24B1105-6436-A1A2-9932-C435FD5F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4771" y="13345886"/>
          <a:ext cx="4790149" cy="35160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762000</xdr:colOff>
      <xdr:row>28</xdr:row>
      <xdr:rowOff>2</xdr:rowOff>
    </xdr:from>
    <xdr:to>
      <xdr:col>12</xdr:col>
      <xdr:colOff>48870</xdr:colOff>
      <xdr:row>47</xdr:row>
      <xdr:rowOff>43544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CC13C7E-23ED-346C-AF00-64AA73CE1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2114" y="4833259"/>
          <a:ext cx="4849470" cy="3559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785512</xdr:colOff>
      <xdr:row>28</xdr:row>
      <xdr:rowOff>0</xdr:rowOff>
    </xdr:from>
    <xdr:to>
      <xdr:col>19</xdr:col>
      <xdr:colOff>13063</xdr:colOff>
      <xdr:row>47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074FC4A-2607-2B51-3259-655EB304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28226" y="4833257"/>
          <a:ext cx="4790151" cy="35160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73</xdr:row>
      <xdr:rowOff>141515</xdr:rowOff>
    </xdr:from>
    <xdr:to>
      <xdr:col>19</xdr:col>
      <xdr:colOff>23948</xdr:colOff>
      <xdr:row>92</xdr:row>
      <xdr:rowOff>142794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6F37B61-39DE-9468-6D04-25D576942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7371" y="13302344"/>
          <a:ext cx="4791891" cy="3517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</xdr:colOff>
      <xdr:row>51</xdr:row>
      <xdr:rowOff>0</xdr:rowOff>
    </xdr:from>
    <xdr:to>
      <xdr:col>18</xdr:col>
      <xdr:colOff>751114</xdr:colOff>
      <xdr:row>69</xdr:row>
      <xdr:rowOff>136795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BBA35B3-2588-4FE1-B09B-5454A654C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37372" y="9808029"/>
          <a:ext cx="4724399" cy="34678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174625</xdr:colOff>
      <xdr:row>7</xdr:row>
      <xdr:rowOff>31750</xdr:rowOff>
    </xdr:from>
    <xdr:to>
      <xdr:col>8</xdr:col>
      <xdr:colOff>174625</xdr:colOff>
      <xdr:row>22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15653D-56D0-4F4D-8093-93793A36A0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449580</xdr:colOff>
      <xdr:row>0</xdr:row>
      <xdr:rowOff>281940</xdr:rowOff>
    </xdr:from>
    <xdr:to>
      <xdr:col>28</xdr:col>
      <xdr:colOff>198120</xdr:colOff>
      <xdr:row>19</xdr:row>
      <xdr:rowOff>60960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633C0FA2-BA9F-4F23-87FD-5028FD3E9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243840</xdr:colOff>
      <xdr:row>21</xdr:row>
      <xdr:rowOff>45720</xdr:rowOff>
    </xdr:from>
    <xdr:to>
      <xdr:col>28</xdr:col>
      <xdr:colOff>6350</xdr:colOff>
      <xdr:row>41</xdr:row>
      <xdr:rowOff>68580</xdr:rowOff>
    </xdr:to>
    <xdr:graphicFrame macro="">
      <xdr:nvGraphicFramePr>
        <xdr:cNvPr id="3" name="1 Gráfico">
          <a:extLst>
            <a:ext uri="{FF2B5EF4-FFF2-40B4-BE49-F238E27FC236}">
              <a16:creationId xmlns:a16="http://schemas.microsoft.com/office/drawing/2014/main" id="{EA1D23C1-20F4-4190-8053-7253144E9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406400</xdr:colOff>
      <xdr:row>43</xdr:row>
      <xdr:rowOff>97790</xdr:rowOff>
    </xdr:from>
    <xdr:to>
      <xdr:col>28</xdr:col>
      <xdr:colOff>457200</xdr:colOff>
      <xdr:row>67</xdr:row>
      <xdr:rowOff>59690</xdr:rowOff>
    </xdr:to>
    <xdr:graphicFrame macro="">
      <xdr:nvGraphicFramePr>
        <xdr:cNvPr id="5" name="1 Gráfico">
          <a:extLst>
            <a:ext uri="{FF2B5EF4-FFF2-40B4-BE49-F238E27FC236}">
              <a16:creationId xmlns:a16="http://schemas.microsoft.com/office/drawing/2014/main" id="{0725D29D-9C1D-4483-8CA4-67E066D953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0.39722</cdr:x>
      <cdr:y>0.09826</cdr:y>
    </cdr:from>
    <cdr:to>
      <cdr:x>0.65373</cdr:x>
      <cdr:y>0.16595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270087" y="361638"/>
          <a:ext cx="1465964" cy="249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dólares del 2015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0.39722</cdr:x>
      <cdr:y>0.09826</cdr:y>
    </cdr:from>
    <cdr:to>
      <cdr:x>0.65373</cdr:x>
      <cdr:y>0.16595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270087" y="361638"/>
          <a:ext cx="1465964" cy="249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dólares del 2015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0.39722</cdr:x>
      <cdr:y>0.09826</cdr:y>
    </cdr:from>
    <cdr:to>
      <cdr:x>0.65373</cdr:x>
      <cdr:y>0.16595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270087" y="361638"/>
          <a:ext cx="1465964" cy="2491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dólares del 2015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290635</xdr:colOff>
      <xdr:row>16</xdr:row>
      <xdr:rowOff>8304</xdr:rowOff>
    </xdr:from>
    <xdr:to>
      <xdr:col>8</xdr:col>
      <xdr:colOff>207597</xdr:colOff>
      <xdr:row>30</xdr:row>
      <xdr:rowOff>152888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00B8D8-E448-4A30-9555-D9D9D3765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22224</xdr:colOff>
      <xdr:row>2</xdr:row>
      <xdr:rowOff>171450</xdr:rowOff>
    </xdr:from>
    <xdr:to>
      <xdr:col>15</xdr:col>
      <xdr:colOff>12699</xdr:colOff>
      <xdr:row>17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60135E-D6DD-48D6-B669-75ACD7132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752474</xdr:colOff>
      <xdr:row>9</xdr:row>
      <xdr:rowOff>6350</xdr:rowOff>
    </xdr:from>
    <xdr:to>
      <xdr:col>12</xdr:col>
      <xdr:colOff>25400</xdr:colOff>
      <xdr:row>23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F74EB-5A6C-4DEC-A2CF-BEE3B0B4F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168275</xdr:colOff>
      <xdr:row>2</xdr:row>
      <xdr:rowOff>0</xdr:rowOff>
    </xdr:from>
    <xdr:to>
      <xdr:col>13</xdr:col>
      <xdr:colOff>168275</xdr:colOff>
      <xdr:row>16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202DF8-FBD8-43D5-9D47-C6BFC478C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758824</xdr:colOff>
      <xdr:row>7</xdr:row>
      <xdr:rowOff>171450</xdr:rowOff>
    </xdr:from>
    <xdr:to>
      <xdr:col>11</xdr:col>
      <xdr:colOff>749300</xdr:colOff>
      <xdr:row>22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69FAD68-0297-4E6E-8AE2-7FE8265B8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746125</xdr:colOff>
      <xdr:row>2</xdr:row>
      <xdr:rowOff>19050</xdr:rowOff>
    </xdr:from>
    <xdr:to>
      <xdr:col>12</xdr:col>
      <xdr:colOff>746125</xdr:colOff>
      <xdr:row>17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2EE2EA-8A7C-4AC7-803B-32C51A4CD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Gini_ALC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Gini_ALC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PIB_1990_2024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PIB_1990_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Tablas%20cambios%20en%20el%20IR%20por%20a&#241;os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Tablas%20cambios%20en%20el%20IR%20por%20a&#241;o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WID_ECU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WID_ECU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WID_ALC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WID_ALC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lacsoeduec-my.sharepoint.com/personal/jponce_flacso_edu_ec/Documents/Documents/DISCO%20D/Observatorio_2025/Boletin%201/Plama_ALC.xlsx" TargetMode="External"/><Relationship Id="rId1" Type="http://schemas.openxmlformats.org/officeDocument/2006/relationships/externalLinkPath" Target="https://flacsoeduec-my.sharepoint.com/personal/jponce_flacso_edu_ec/Documents/Documents/DISCO%20D/Observatorio_2025/Boletin%201/Plama_AL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B2" t="str">
            <v>Bolivia</v>
          </cell>
          <cell r="D2" t="str">
            <v>Brasil</v>
          </cell>
          <cell r="F2" t="str">
            <v>Colombia</v>
          </cell>
          <cell r="G2" t="str">
            <v>Ecuador</v>
          </cell>
          <cell r="H2" t="str">
            <v>Paraguay</v>
          </cell>
          <cell r="I2" t="str">
            <v>Perú</v>
          </cell>
          <cell r="L2" t="str">
            <v>Costa Rica</v>
          </cell>
          <cell r="M2" t="str">
            <v>ALC</v>
          </cell>
        </row>
        <row r="3">
          <cell r="A3">
            <v>2005</v>
          </cell>
          <cell r="B3">
            <v>0.63400000333786011</v>
          </cell>
          <cell r="D3">
            <v>0.55199998617172241</v>
          </cell>
          <cell r="F3">
            <v>0.55000001192092896</v>
          </cell>
          <cell r="G3">
            <v>0.5220000147819519</v>
          </cell>
          <cell r="H3">
            <v>0.52399998903274536</v>
          </cell>
          <cell r="I3">
            <v>0.52499997615814209</v>
          </cell>
          <cell r="L3">
            <v>0.47600001096725458</v>
          </cell>
          <cell r="M3">
            <v>0.52300000190734863</v>
          </cell>
        </row>
        <row r="4">
          <cell r="A4">
            <v>2011</v>
          </cell>
          <cell r="B4">
            <v>0.47099998593330378</v>
          </cell>
          <cell r="D4">
            <v>0.52600002288818359</v>
          </cell>
          <cell r="F4">
            <v>0.54500001668930054</v>
          </cell>
          <cell r="G4">
            <v>0.45800000429153442</v>
          </cell>
          <cell r="H4">
            <v>0.5350000262260437</v>
          </cell>
          <cell r="I4">
            <v>0.46299999952316279</v>
          </cell>
          <cell r="L4">
            <v>0.5</v>
          </cell>
          <cell r="M4">
            <v>0.48399999737739557</v>
          </cell>
        </row>
        <row r="5">
          <cell r="A5">
            <v>2015</v>
          </cell>
          <cell r="B5">
            <v>0.45</v>
          </cell>
          <cell r="D5">
            <v>0.51099997758865356</v>
          </cell>
          <cell r="F5">
            <v>0.52399998903274536</v>
          </cell>
          <cell r="G5">
            <v>0.46200001239776611</v>
          </cell>
          <cell r="H5">
            <v>0.49399998784065252</v>
          </cell>
          <cell r="I5">
            <v>0.44900000095367432</v>
          </cell>
          <cell r="L5">
            <v>0.49599999189376831</v>
          </cell>
          <cell r="M5">
            <v>0.46599999070167542</v>
          </cell>
        </row>
        <row r="6">
          <cell r="A6">
            <v>2023</v>
          </cell>
          <cell r="B6">
            <v>0.43599998950958252</v>
          </cell>
          <cell r="D6">
            <v>0.51499998569488525</v>
          </cell>
          <cell r="F6">
            <v>0.56000000238418579</v>
          </cell>
          <cell r="G6">
            <v>0.44200000166893011</v>
          </cell>
          <cell r="H6">
            <v>0.46000000834465032</v>
          </cell>
          <cell r="I6">
            <v>0.41699999570846558</v>
          </cell>
          <cell r="L6">
            <v>0.47999998927116388</v>
          </cell>
          <cell r="M6">
            <v>0.45199999213218689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PIB"/>
      <sheetName val="Hoja3"/>
      <sheetName val="Inflacion"/>
    </sheetNames>
    <sheetDataSet>
      <sheetData sheetId="0"/>
      <sheetData sheetId="1">
        <row r="11">
          <cell r="H11">
            <v>1990</v>
          </cell>
          <cell r="J11">
            <v>3.679914053088762E-2</v>
          </cell>
          <cell r="K11">
            <v>2.1999999999999999E-2</v>
          </cell>
          <cell r="O11"/>
        </row>
        <row r="12">
          <cell r="H12">
            <v>1991</v>
          </cell>
          <cell r="J12">
            <v>4.2913424640470543E-2</v>
          </cell>
          <cell r="K12">
            <v>2.1999999999999999E-2</v>
          </cell>
          <cell r="O12">
            <v>0.48699999999999999</v>
          </cell>
        </row>
        <row r="13">
          <cell r="H13">
            <v>1992</v>
          </cell>
          <cell r="J13">
            <v>2.1143106497896857E-2</v>
          </cell>
          <cell r="K13">
            <v>2.1999999999999999E-2</v>
          </cell>
          <cell r="O13"/>
        </row>
        <row r="14">
          <cell r="H14">
            <v>1993</v>
          </cell>
          <cell r="J14">
            <v>1.9732181367861923E-2</v>
          </cell>
          <cell r="K14">
            <v>2.1999999999999999E-2</v>
          </cell>
          <cell r="O14">
            <v>0.51</v>
          </cell>
        </row>
        <row r="15">
          <cell r="H15">
            <v>1994</v>
          </cell>
          <cell r="J15">
            <v>4.2582504274162547E-2</v>
          </cell>
          <cell r="K15">
            <v>2.1999999999999999E-2</v>
          </cell>
          <cell r="O15"/>
        </row>
        <row r="16">
          <cell r="H16">
            <v>1995</v>
          </cell>
          <cell r="J16">
            <v>2.2525486522510407E-2</v>
          </cell>
          <cell r="K16">
            <v>2.1999999999999999E-2</v>
          </cell>
          <cell r="O16">
            <v>0.49199999999999999</v>
          </cell>
        </row>
        <row r="17">
          <cell r="H17">
            <v>1996</v>
          </cell>
          <cell r="J17">
            <v>1.7317476260786169E-2</v>
          </cell>
          <cell r="K17">
            <v>2.1999999999999999E-2</v>
          </cell>
          <cell r="O17"/>
        </row>
        <row r="18">
          <cell r="H18">
            <v>1997</v>
          </cell>
          <cell r="J18">
            <v>4.3278647576757701E-2</v>
          </cell>
          <cell r="K18">
            <v>2.1999999999999999E-2</v>
          </cell>
          <cell r="O18">
            <v>0.47899999999999998</v>
          </cell>
        </row>
        <row r="19">
          <cell r="H19">
            <v>1998</v>
          </cell>
          <cell r="J19">
            <v>3.2665293457098787E-2</v>
          </cell>
          <cell r="K19">
            <v>2.1999999999999999E-2</v>
          </cell>
          <cell r="O19"/>
        </row>
        <row r="20">
          <cell r="H20">
            <v>1999</v>
          </cell>
          <cell r="J20">
            <v>-4.7393858536338151E-2</v>
          </cell>
          <cell r="K20">
            <v>2.1999999999999999E-2</v>
          </cell>
          <cell r="O20">
            <v>0.53400000000000003</v>
          </cell>
        </row>
        <row r="21">
          <cell r="H21">
            <v>2000</v>
          </cell>
          <cell r="J21">
            <v>1.0918016472027725E-2</v>
          </cell>
          <cell r="L21">
            <v>3.9E-2</v>
          </cell>
          <cell r="O21"/>
          <cell r="P21">
            <v>0.56999999999999995</v>
          </cell>
          <cell r="R21">
            <v>128.23826327507734</v>
          </cell>
        </row>
        <row r="22">
          <cell r="H22">
            <v>2001</v>
          </cell>
          <cell r="J22">
            <v>4.2062718574878977E-2</v>
          </cell>
          <cell r="L22">
            <v>3.9E-2</v>
          </cell>
          <cell r="O22">
            <v>0.57499999999999996</v>
          </cell>
          <cell r="P22">
            <v>0.58099999999999996</v>
          </cell>
          <cell r="R22">
            <v>157.3806332514113</v>
          </cell>
        </row>
        <row r="23">
          <cell r="H23">
            <v>2002</v>
          </cell>
          <cell r="J23">
            <v>4.9280954961137491E-2</v>
          </cell>
          <cell r="L23">
            <v>3.9E-2</v>
          </cell>
          <cell r="O23"/>
          <cell r="P23">
            <v>0.52690000000000003</v>
          </cell>
          <cell r="R23">
            <v>176.22800822087018</v>
          </cell>
        </row>
        <row r="24">
          <cell r="H24">
            <v>2003</v>
          </cell>
          <cell r="J24">
            <v>2.8845003651206458E-2</v>
          </cell>
          <cell r="L24">
            <v>3.9E-2</v>
          </cell>
          <cell r="O24">
            <v>0.53800000000000003</v>
          </cell>
          <cell r="P24">
            <v>0.55859999999999999</v>
          </cell>
          <cell r="R24">
            <v>205.79403282512371</v>
          </cell>
        </row>
        <row r="25">
          <cell r="H25">
            <v>2004</v>
          </cell>
          <cell r="J25">
            <v>6.8323973664651483E-2</v>
          </cell>
          <cell r="L25">
            <v>3.9E-2</v>
          </cell>
          <cell r="O25"/>
          <cell r="P25">
            <v>0.56799999999999995</v>
          </cell>
          <cell r="R25">
            <v>210.75484676461451</v>
          </cell>
        </row>
        <row r="26">
          <cell r="H26">
            <v>2005</v>
          </cell>
          <cell r="J26">
            <v>5.3986224399434235E-2</v>
          </cell>
          <cell r="L26">
            <v>3.9E-2</v>
          </cell>
          <cell r="O26">
            <v>0.52400000000000002</v>
          </cell>
          <cell r="P26">
            <v>0.54800000000000004</v>
          </cell>
          <cell r="R26">
            <v>226.00095948146205</v>
          </cell>
        </row>
        <row r="27">
          <cell r="H27">
            <v>2006</v>
          </cell>
          <cell r="J27">
            <v>4.3411319857763919E-2</v>
          </cell>
          <cell r="L27">
            <v>3.9E-2</v>
          </cell>
          <cell r="O27"/>
          <cell r="P27">
            <v>0.52600000000000002</v>
          </cell>
          <cell r="R27">
            <v>234.34345161977507</v>
          </cell>
        </row>
        <row r="28">
          <cell r="H28">
            <v>2007</v>
          </cell>
          <cell r="J28">
            <v>1.902428597004846E-2</v>
          </cell>
          <cell r="L28">
            <v>3.9E-2</v>
          </cell>
          <cell r="O28">
            <v>0.52100000000000002</v>
          </cell>
          <cell r="P28">
            <v>0.55000000000000004</v>
          </cell>
          <cell r="R28">
            <v>240.98976464318463</v>
          </cell>
        </row>
        <row r="29">
          <cell r="H29">
            <v>2008</v>
          </cell>
          <cell r="J29">
            <v>6.5649206822471884E-2</v>
          </cell>
          <cell r="L29">
            <v>3.9E-2</v>
          </cell>
          <cell r="O29"/>
          <cell r="P29">
            <v>0.51400000000000001</v>
          </cell>
          <cell r="R29">
            <v>260.51268937301006</v>
          </cell>
        </row>
        <row r="30">
          <cell r="H30">
            <v>2009</v>
          </cell>
          <cell r="J30">
            <v>1.0910129698310955E-2</v>
          </cell>
          <cell r="L30">
            <v>3.9E-2</v>
          </cell>
          <cell r="O30">
            <v>0.48199999999999998</v>
          </cell>
          <cell r="P30">
            <v>0.504</v>
          </cell>
          <cell r="R30">
            <v>272.22134489331444</v>
          </cell>
        </row>
        <row r="31">
          <cell r="H31">
            <v>2010</v>
          </cell>
          <cell r="J31">
            <v>4.029137879866207E-2</v>
          </cell>
          <cell r="L31">
            <v>3.9E-2</v>
          </cell>
          <cell r="O31"/>
          <cell r="P31">
            <v>0.50800000000000001</v>
          </cell>
          <cell r="R31">
            <v>290.04057177687099</v>
          </cell>
        </row>
        <row r="32">
          <cell r="H32">
            <v>2011</v>
          </cell>
          <cell r="J32">
            <v>8.4814765633282274E-2</v>
          </cell>
          <cell r="M32">
            <v>4.3999999999999997E-2</v>
          </cell>
          <cell r="O32">
            <v>0.44130000000000003</v>
          </cell>
          <cell r="P32">
            <v>0.47320000000000001</v>
          </cell>
          <cell r="R32">
            <v>302.67194633620693</v>
          </cell>
        </row>
        <row r="33">
          <cell r="H33">
            <v>2012</v>
          </cell>
          <cell r="J33">
            <v>5.7832123361720056E-2</v>
          </cell>
          <cell r="M33">
            <v>4.3999999999999997E-2</v>
          </cell>
          <cell r="O33"/>
          <cell r="P33">
            <v>0.47670000000000001</v>
          </cell>
          <cell r="R33">
            <v>321.39108224283484</v>
          </cell>
        </row>
        <row r="34">
          <cell r="H34">
            <v>2013</v>
          </cell>
          <cell r="J34">
            <v>7.2112365367915876E-2</v>
          </cell>
          <cell r="M34">
            <v>4.3999999999999997E-2</v>
          </cell>
          <cell r="O34">
            <v>0.4708</v>
          </cell>
          <cell r="P34">
            <v>0.48499999999999999</v>
          </cell>
          <cell r="R34">
            <v>340.8051906738541</v>
          </cell>
        </row>
        <row r="35">
          <cell r="H35">
            <v>2014</v>
          </cell>
          <cell r="J35">
            <v>4.2260652038845548E-2</v>
          </cell>
          <cell r="M35">
            <v>4.3999999999999997E-2</v>
          </cell>
          <cell r="O35"/>
          <cell r="P35">
            <v>0.46650000000000003</v>
          </cell>
          <cell r="R35">
            <v>351.49242545338785</v>
          </cell>
        </row>
        <row r="36">
          <cell r="H36">
            <v>2015</v>
          </cell>
          <cell r="J36">
            <v>1.1969210928761687E-3</v>
          </cell>
          <cell r="M36">
            <v>4.3999999999999997E-2</v>
          </cell>
          <cell r="O36">
            <v>0.45440000000000003</v>
          </cell>
          <cell r="P36">
            <v>0.47570000000000001</v>
          </cell>
          <cell r="R36">
            <v>354</v>
          </cell>
        </row>
        <row r="37">
          <cell r="H37">
            <v>2016</v>
          </cell>
          <cell r="J37">
            <v>-6.8795424587794196E-3</v>
          </cell>
          <cell r="M37">
            <v>4.3999999999999997E-2</v>
          </cell>
          <cell r="O37"/>
          <cell r="P37">
            <v>0.46600000000000003</v>
          </cell>
          <cell r="R37">
            <v>361.94694902159983</v>
          </cell>
        </row>
        <row r="38">
          <cell r="H38">
            <v>2017</v>
          </cell>
          <cell r="J38">
            <v>5.9703988095484162E-2</v>
          </cell>
          <cell r="M38">
            <v>4.3999999999999997E-2</v>
          </cell>
          <cell r="O38">
            <v>0.43490000000000001</v>
          </cell>
          <cell r="P38">
            <v>0.45929999999999999</v>
          </cell>
          <cell r="R38">
            <v>371.57818013196334</v>
          </cell>
        </row>
        <row r="39">
          <cell r="H39">
            <v>2018</v>
          </cell>
          <cell r="J39">
            <v>1.0442946067960701E-2</v>
          </cell>
          <cell r="N39">
            <v>0.01</v>
          </cell>
          <cell r="O39"/>
          <cell r="P39">
            <v>0.46899999999999997</v>
          </cell>
          <cell r="R39">
            <v>381.46246673546256</v>
          </cell>
        </row>
        <row r="40">
          <cell r="H40">
            <v>2019</v>
          </cell>
          <cell r="J40">
            <v>1.654044646002939E-3</v>
          </cell>
          <cell r="N40">
            <v>0.01</v>
          </cell>
          <cell r="O40">
            <v>0.4536</v>
          </cell>
          <cell r="P40">
            <v>0.47339999999999999</v>
          </cell>
          <cell r="R40">
            <v>389.62297767952481</v>
          </cell>
        </row>
        <row r="41">
          <cell r="H41">
            <v>2020</v>
          </cell>
          <cell r="J41">
            <v>-9.2450961916586416E-2</v>
          </cell>
          <cell r="N41">
            <v>0.01</v>
          </cell>
          <cell r="O41"/>
          <cell r="P41">
            <v>0.49769999999999998</v>
          </cell>
          <cell r="R41">
            <v>399.28157645869896</v>
          </cell>
        </row>
        <row r="42">
          <cell r="H42">
            <v>2021</v>
          </cell>
          <cell r="J42">
            <v>9.4218926903363087E-2</v>
          </cell>
          <cell r="N42">
            <v>0.01</v>
          </cell>
          <cell r="O42">
            <v>0.46550000000000002</v>
          </cell>
          <cell r="P42">
            <v>0.48599999999999999</v>
          </cell>
          <cell r="R42">
            <v>391.68032080025347</v>
          </cell>
        </row>
        <row r="43">
          <cell r="H43">
            <v>2022</v>
          </cell>
          <cell r="J43">
            <v>5.868423548623114E-2</v>
          </cell>
          <cell r="N43">
            <v>0.01</v>
          </cell>
          <cell r="O43"/>
          <cell r="P43">
            <v>0.46590505436662949</v>
          </cell>
          <cell r="R43">
            <v>401.16618438996767</v>
          </cell>
        </row>
        <row r="44">
          <cell r="H44">
            <v>2023</v>
          </cell>
          <cell r="J44">
            <v>1.9882381398423465E-2</v>
          </cell>
          <cell r="N44">
            <v>0.01</v>
          </cell>
          <cell r="O44">
            <v>0.43208480286619461</v>
          </cell>
          <cell r="P44">
            <v>0.45720593564451528</v>
          </cell>
          <cell r="R44">
            <v>419.10732730514644</v>
          </cell>
        </row>
        <row r="45">
          <cell r="H45">
            <v>2024</v>
          </cell>
          <cell r="J45">
            <v>-2.001254763410254E-2</v>
          </cell>
          <cell r="N45">
            <v>0.01</v>
          </cell>
          <cell r="O45">
            <v>0.44600000000000001</v>
          </cell>
          <cell r="P45">
            <v>0.46326720790839798</v>
          </cell>
          <cell r="R45">
            <v>426.16568419256492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"/>
      <sheetName val="2002"/>
      <sheetName val="2006"/>
      <sheetName val="2008"/>
      <sheetName val="2010"/>
      <sheetName val="2018"/>
      <sheetName val="2019"/>
      <sheetName val="2020"/>
      <sheetName val="2023"/>
      <sheetName val="2024"/>
      <sheetName val="2025"/>
    </sheetNames>
    <sheetDataSet>
      <sheetData sheetId="0">
        <row r="16">
          <cell r="D16" t="str">
            <v>Tasa impositiva sobre el rango superior</v>
          </cell>
          <cell r="E16" t="str">
            <v>Valor Mensual</v>
          </cell>
        </row>
        <row r="17">
          <cell r="A17">
            <v>2002</v>
          </cell>
          <cell r="D17">
            <v>0.2</v>
          </cell>
          <cell r="E17">
            <v>6945.1668635227252</v>
          </cell>
        </row>
        <row r="18">
          <cell r="A18">
            <v>2006</v>
          </cell>
          <cell r="D18">
            <v>0.25</v>
          </cell>
          <cell r="E18">
            <v>7498.990451832803</v>
          </cell>
        </row>
        <row r="19">
          <cell r="A19">
            <v>2008</v>
          </cell>
          <cell r="D19">
            <v>0.25</v>
          </cell>
          <cell r="E19">
            <v>6816.7487052604301</v>
          </cell>
        </row>
        <row r="20">
          <cell r="A20">
            <v>2010</v>
          </cell>
          <cell r="D20">
            <v>0.3</v>
          </cell>
          <cell r="E20">
            <v>9145.3417788394636</v>
          </cell>
        </row>
        <row r="21">
          <cell r="A21">
            <v>2018</v>
          </cell>
          <cell r="D21">
            <v>0.3</v>
          </cell>
          <cell r="E21">
            <v>9461.6197761738549</v>
          </cell>
        </row>
        <row r="22">
          <cell r="A22">
            <v>2019</v>
          </cell>
          <cell r="D22">
            <v>0.3</v>
          </cell>
          <cell r="E22">
            <v>9500.7692455376891</v>
          </cell>
        </row>
        <row r="23">
          <cell r="A23">
            <v>2020</v>
          </cell>
          <cell r="D23">
            <v>0.3</v>
          </cell>
          <cell r="E23">
            <v>9594.2380121685801</v>
          </cell>
        </row>
        <row r="24">
          <cell r="A24">
            <v>2023</v>
          </cell>
          <cell r="D24">
            <v>0.35</v>
          </cell>
          <cell r="E24">
            <v>8194.3243734958069</v>
          </cell>
        </row>
        <row r="25">
          <cell r="A25">
            <v>2024</v>
          </cell>
          <cell r="D25">
            <v>0.37</v>
          </cell>
          <cell r="E25">
            <v>8276.1839093765884</v>
          </cell>
        </row>
        <row r="26">
          <cell r="A26">
            <v>2025</v>
          </cell>
          <cell r="D26">
            <v>0.37</v>
          </cell>
          <cell r="E26">
            <v>8217.3629833999476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reso"/>
      <sheetName val="Riqueza"/>
    </sheetNames>
    <sheetDataSet>
      <sheetData sheetId="0">
        <row r="4">
          <cell r="F4" t="str">
            <v>1% más rico</v>
          </cell>
          <cell r="G4" t="str">
            <v>10% más rico</v>
          </cell>
        </row>
        <row r="6">
          <cell r="E6">
            <v>2001</v>
          </cell>
          <cell r="F6">
            <v>0.19500000000000001</v>
          </cell>
          <cell r="G6">
            <v>0.54390000000000005</v>
          </cell>
        </row>
        <row r="7">
          <cell r="E7">
            <v>2003</v>
          </cell>
          <cell r="F7">
            <v>0.1983</v>
          </cell>
          <cell r="G7">
            <v>0.52650000000000008</v>
          </cell>
        </row>
        <row r="8">
          <cell r="E8">
            <v>2005</v>
          </cell>
          <cell r="F8">
            <v>0.18340000000000001</v>
          </cell>
          <cell r="G8">
            <v>0.51070000000000004</v>
          </cell>
        </row>
        <row r="9">
          <cell r="E9">
            <v>2007</v>
          </cell>
          <cell r="F9">
            <v>0.2064</v>
          </cell>
          <cell r="G9">
            <v>0.54330000000000001</v>
          </cell>
        </row>
        <row r="10">
          <cell r="E10">
            <v>2009</v>
          </cell>
          <cell r="F10">
            <v>0.1414</v>
          </cell>
          <cell r="G10">
            <v>0.48559999999999998</v>
          </cell>
        </row>
        <row r="11">
          <cell r="E11">
            <v>2011</v>
          </cell>
          <cell r="F11">
            <v>0.1313</v>
          </cell>
          <cell r="G11">
            <v>0.44640000000000002</v>
          </cell>
        </row>
        <row r="12">
          <cell r="E12">
            <v>2013</v>
          </cell>
          <cell r="F12">
            <v>0.15959999999999999</v>
          </cell>
          <cell r="G12">
            <v>0.4546</v>
          </cell>
        </row>
        <row r="13">
          <cell r="E13">
            <v>2015</v>
          </cell>
          <cell r="F13">
            <v>0.12470000000000001</v>
          </cell>
          <cell r="G13">
            <v>0.41889999999999999</v>
          </cell>
        </row>
        <row r="14">
          <cell r="E14">
            <v>2017</v>
          </cell>
          <cell r="F14">
            <v>0.13950000000000001</v>
          </cell>
          <cell r="G14">
            <v>0.42499999999999999</v>
          </cell>
        </row>
        <row r="15">
          <cell r="E15">
            <v>2019</v>
          </cell>
          <cell r="F15">
            <v>0.1406</v>
          </cell>
          <cell r="G15">
            <v>0.44040000000000001</v>
          </cell>
        </row>
        <row r="16">
          <cell r="E16">
            <v>2021</v>
          </cell>
          <cell r="F16">
            <v>0.1658</v>
          </cell>
          <cell r="G16">
            <v>0.47510000000000002</v>
          </cell>
        </row>
        <row r="17">
          <cell r="E17">
            <v>2023</v>
          </cell>
          <cell r="F17">
            <v>0.14000000000000001</v>
          </cell>
          <cell r="G17">
            <v>0.4521</v>
          </cell>
        </row>
      </sheetData>
      <sheetData sheetId="1">
        <row r="3">
          <cell r="F3" t="str">
            <v>1% más rico</v>
          </cell>
          <cell r="G3" t="str">
            <v>10% más rico</v>
          </cell>
        </row>
        <row r="4">
          <cell r="E4">
            <v>2001</v>
          </cell>
          <cell r="F4">
            <v>0.30459999999999998</v>
          </cell>
          <cell r="G4">
            <v>0.64419999999999999</v>
          </cell>
        </row>
        <row r="5">
          <cell r="E5">
            <v>2003</v>
          </cell>
          <cell r="F5">
            <v>0.2893</v>
          </cell>
          <cell r="G5">
            <v>0.63090000000000002</v>
          </cell>
        </row>
        <row r="6">
          <cell r="E6">
            <v>2005</v>
          </cell>
          <cell r="F6">
            <v>0.27850000000000003</v>
          </cell>
          <cell r="G6">
            <v>0.62130000000000007</v>
          </cell>
        </row>
        <row r="7">
          <cell r="E7">
            <v>2007</v>
          </cell>
          <cell r="F7">
            <v>0.30399999999999999</v>
          </cell>
          <cell r="G7">
            <v>0.64380000000000004</v>
          </cell>
        </row>
        <row r="8">
          <cell r="E8">
            <v>2009</v>
          </cell>
          <cell r="F8">
            <v>0.26119999999999999</v>
          </cell>
          <cell r="G8">
            <v>0.60550000000000004</v>
          </cell>
        </row>
        <row r="9">
          <cell r="E9">
            <v>2011</v>
          </cell>
          <cell r="F9">
            <v>0.2445</v>
          </cell>
          <cell r="G9">
            <v>0.58960000000000001</v>
          </cell>
        </row>
        <row r="10">
          <cell r="E10">
            <v>2013</v>
          </cell>
          <cell r="F10">
            <v>0.2467</v>
          </cell>
          <cell r="G10">
            <v>0.59179999999999999</v>
          </cell>
        </row>
        <row r="11">
          <cell r="E11">
            <v>2015</v>
          </cell>
          <cell r="F11">
            <v>0.23799999999999999</v>
          </cell>
          <cell r="G11">
            <v>0.58310000000000006</v>
          </cell>
        </row>
        <row r="12">
          <cell r="E12">
            <v>2017</v>
          </cell>
          <cell r="F12">
            <v>0.23930000000000001</v>
          </cell>
          <cell r="G12">
            <v>0.58450000000000002</v>
          </cell>
        </row>
        <row r="13">
          <cell r="E13">
            <v>2019</v>
          </cell>
          <cell r="F13">
            <v>0.2432</v>
          </cell>
          <cell r="G13">
            <v>0.58830000000000005</v>
          </cell>
        </row>
        <row r="14">
          <cell r="E14">
            <v>2021</v>
          </cell>
          <cell r="F14">
            <v>0.25530000000000003</v>
          </cell>
          <cell r="G14">
            <v>0.6</v>
          </cell>
        </row>
        <row r="15">
          <cell r="E15">
            <v>2023</v>
          </cell>
          <cell r="F15">
            <v>0.24590000000000001</v>
          </cell>
          <cell r="G15">
            <v>0.59100000000000008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greso"/>
      <sheetName val="Riqueza"/>
    </sheetNames>
    <sheetDataSet>
      <sheetData sheetId="0">
        <row r="2">
          <cell r="B2" t="str">
            <v>Bolivia</v>
          </cell>
          <cell r="C2" t="str">
            <v>Argentina</v>
          </cell>
          <cell r="D2" t="str">
            <v>Brasil</v>
          </cell>
          <cell r="E2" t="str">
            <v>Chile</v>
          </cell>
          <cell r="F2" t="str">
            <v>Colombia</v>
          </cell>
          <cell r="G2" t="str">
            <v>Ecuador</v>
          </cell>
          <cell r="H2" t="str">
            <v>Paraguay</v>
          </cell>
          <cell r="I2" t="str">
            <v>Perú</v>
          </cell>
          <cell r="J2" t="str">
            <v>Uruguay</v>
          </cell>
          <cell r="K2" t="str">
            <v>Mexico</v>
          </cell>
          <cell r="L2" t="str">
            <v>Costa Rica</v>
          </cell>
          <cell r="M2" t="str">
            <v>ALC</v>
          </cell>
        </row>
        <row r="4">
          <cell r="A4">
            <v>2005</v>
          </cell>
          <cell r="B4">
            <v>0.193</v>
          </cell>
          <cell r="C4">
            <v>0.1177</v>
          </cell>
          <cell r="D4">
            <v>0.22939999999999999</v>
          </cell>
          <cell r="E4">
            <v>0.26619999999999999</v>
          </cell>
          <cell r="F4">
            <v>0.22470000000000001</v>
          </cell>
          <cell r="G4">
            <v>0.18340000000000001</v>
          </cell>
          <cell r="H4">
            <v>0.193</v>
          </cell>
          <cell r="I4">
            <v>0.2157</v>
          </cell>
          <cell r="J4">
            <v>0.1449</v>
          </cell>
          <cell r="K4">
            <v>0.16089999999999999</v>
          </cell>
          <cell r="L4">
            <v>0.2026</v>
          </cell>
          <cell r="M4">
            <v>0.20330000000000001</v>
          </cell>
        </row>
        <row r="6">
          <cell r="A6">
            <v>2015</v>
          </cell>
          <cell r="B6">
            <v>0.19420000000000001</v>
          </cell>
          <cell r="C6">
            <v>0.14069999999999999</v>
          </cell>
          <cell r="D6">
            <v>0.22770000000000001</v>
          </cell>
          <cell r="E6">
            <v>0.26540000000000002</v>
          </cell>
          <cell r="F6">
            <v>0.189</v>
          </cell>
          <cell r="G6">
            <v>0.12470000000000001</v>
          </cell>
          <cell r="H6">
            <v>0.19420000000000001</v>
          </cell>
          <cell r="I6">
            <v>0.22889999999999999</v>
          </cell>
          <cell r="J6">
            <v>0.1431</v>
          </cell>
          <cell r="K6">
            <v>0.2681</v>
          </cell>
          <cell r="L6">
            <v>0.16450000000000001</v>
          </cell>
          <cell r="M6">
            <v>0.21929999999999999</v>
          </cell>
        </row>
        <row r="7">
          <cell r="A7">
            <v>2023</v>
          </cell>
          <cell r="B7">
            <v>0.1787</v>
          </cell>
          <cell r="C7">
            <v>0.1236</v>
          </cell>
          <cell r="D7">
            <v>0.21129999999999999</v>
          </cell>
          <cell r="E7">
            <v>0.22040000000000001</v>
          </cell>
          <cell r="F7">
            <v>0.1794</v>
          </cell>
          <cell r="G7">
            <v>0.14000000000000001</v>
          </cell>
          <cell r="H7">
            <v>0.1787</v>
          </cell>
          <cell r="I7">
            <v>0.26900000000000002</v>
          </cell>
          <cell r="J7">
            <v>0.14779999999999999</v>
          </cell>
          <cell r="K7">
            <v>0.21579999999999999</v>
          </cell>
          <cell r="L7">
            <v>0.1817</v>
          </cell>
          <cell r="M7">
            <v>0.20180000000000001</v>
          </cell>
        </row>
      </sheetData>
      <sheetData sheetId="1">
        <row r="1">
          <cell r="B1" t="str">
            <v>Bolivia</v>
          </cell>
          <cell r="C1" t="str">
            <v>Argentina</v>
          </cell>
          <cell r="D1" t="str">
            <v>Brasil</v>
          </cell>
          <cell r="E1" t="str">
            <v>Chile</v>
          </cell>
          <cell r="F1" t="str">
            <v>Colombia</v>
          </cell>
          <cell r="G1" t="str">
            <v>Ecuador</v>
          </cell>
          <cell r="H1" t="str">
            <v>Paraguay</v>
          </cell>
          <cell r="I1" t="str">
            <v>Perú</v>
          </cell>
          <cell r="J1" t="str">
            <v>Uruguay</v>
          </cell>
          <cell r="K1" t="str">
            <v>Mexico</v>
          </cell>
          <cell r="L1" t="str">
            <v>Costa Rica</v>
          </cell>
          <cell r="M1" t="str">
            <v>ALC</v>
          </cell>
        </row>
        <row r="3">
          <cell r="A3">
            <v>2005</v>
          </cell>
          <cell r="B3">
            <v>0.3306</v>
          </cell>
          <cell r="C3">
            <v>0.2457</v>
          </cell>
          <cell r="D3">
            <v>0.37619999999999998</v>
          </cell>
          <cell r="E3">
            <v>0.38690000000000002</v>
          </cell>
          <cell r="F3">
            <v>0.38450000000000001</v>
          </cell>
          <cell r="G3">
            <v>0.27850000000000003</v>
          </cell>
          <cell r="H3">
            <v>0.33040000000000003</v>
          </cell>
          <cell r="I3">
            <v>0.36809999999999998</v>
          </cell>
          <cell r="J3">
            <v>0.39119999999999999</v>
          </cell>
          <cell r="K3">
            <v>0.37309999999999999</v>
          </cell>
          <cell r="L3">
            <v>0.29720000000000002</v>
          </cell>
          <cell r="M3">
            <v>0.35930000000000001</v>
          </cell>
        </row>
        <row r="5">
          <cell r="A5">
            <v>2015</v>
          </cell>
          <cell r="B5">
            <v>0.2928</v>
          </cell>
          <cell r="C5">
            <v>0.24110000000000001</v>
          </cell>
          <cell r="D5">
            <v>0.37469999999999998</v>
          </cell>
          <cell r="E5">
            <v>0.39369999999999999</v>
          </cell>
          <cell r="F5">
            <v>0.3498</v>
          </cell>
          <cell r="G5">
            <v>0.23799999999999999</v>
          </cell>
          <cell r="H5">
            <v>0.2928</v>
          </cell>
          <cell r="I5">
            <v>0.35299999999999998</v>
          </cell>
          <cell r="J5">
            <v>0.39200000000000002</v>
          </cell>
          <cell r="K5">
            <v>0.40239999999999998</v>
          </cell>
          <cell r="L5">
            <v>0.30549999999999999</v>
          </cell>
          <cell r="M5">
            <v>0.3533</v>
          </cell>
        </row>
        <row r="6">
          <cell r="A6">
            <v>2023</v>
          </cell>
          <cell r="B6">
            <v>0.28349999999999997</v>
          </cell>
          <cell r="C6">
            <v>0.24179999999999999</v>
          </cell>
          <cell r="D6">
            <v>0.37019999999999997</v>
          </cell>
          <cell r="E6">
            <v>0.36559999999999998</v>
          </cell>
          <cell r="F6">
            <v>0.37930000000000003</v>
          </cell>
          <cell r="G6">
            <v>0.24590000000000001</v>
          </cell>
          <cell r="H6">
            <v>0.2833</v>
          </cell>
          <cell r="I6">
            <v>0.36009999999999998</v>
          </cell>
          <cell r="J6">
            <v>0.40139999999999998</v>
          </cell>
          <cell r="K6">
            <v>0.37969999999999998</v>
          </cell>
          <cell r="L6">
            <v>0.27710000000000001</v>
          </cell>
          <cell r="M6">
            <v>0.34660000000000002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2">
          <cell r="B2" t="str">
            <v>ALC</v>
          </cell>
          <cell r="C2" t="str">
            <v>Ecuador</v>
          </cell>
        </row>
        <row r="3">
          <cell r="A3" t="str">
            <v>2001</v>
          </cell>
          <cell r="B3">
            <v>17.79999923706055</v>
          </cell>
          <cell r="C3">
            <v>16.60000038146973</v>
          </cell>
        </row>
        <row r="4">
          <cell r="A4" t="str">
            <v>2003</v>
          </cell>
          <cell r="B4">
            <v>17.39999961853027</v>
          </cell>
          <cell r="C4">
            <v>19.79999923706055</v>
          </cell>
        </row>
        <row r="5">
          <cell r="A5" t="str">
            <v>2005</v>
          </cell>
          <cell r="B5">
            <v>16.79999923706055</v>
          </cell>
          <cell r="C5">
            <v>15.19999980926514</v>
          </cell>
        </row>
        <row r="6">
          <cell r="A6" t="str">
            <v>2007</v>
          </cell>
          <cell r="B6">
            <v>15</v>
          </cell>
          <cell r="C6">
            <v>16</v>
          </cell>
        </row>
        <row r="7">
          <cell r="A7" t="str">
            <v>2009</v>
          </cell>
          <cell r="B7">
            <v>13.30000019073486</v>
          </cell>
          <cell r="C7">
            <v>12.5</v>
          </cell>
        </row>
        <row r="8">
          <cell r="A8" t="str">
            <v>2011</v>
          </cell>
          <cell r="B8">
            <v>12.80000019073486</v>
          </cell>
          <cell r="C8">
            <v>10.60000038146973</v>
          </cell>
        </row>
        <row r="9">
          <cell r="A9" t="str">
            <v>2013</v>
          </cell>
          <cell r="B9">
            <v>12.30000019073486</v>
          </cell>
          <cell r="C9">
            <v>10.80000019073486</v>
          </cell>
        </row>
        <row r="10">
          <cell r="A10" t="str">
            <v>2015</v>
          </cell>
          <cell r="B10">
            <v>11.39999961853027</v>
          </cell>
          <cell r="C10">
            <v>10.5</v>
          </cell>
        </row>
        <row r="11">
          <cell r="A11" t="str">
            <v>2017</v>
          </cell>
          <cell r="B11">
            <v>11.30000019073486</v>
          </cell>
          <cell r="C11">
            <v>9.8000001907348633</v>
          </cell>
        </row>
        <row r="12">
          <cell r="A12" t="str">
            <v>2019</v>
          </cell>
          <cell r="B12">
            <v>11.19999980926514</v>
          </cell>
          <cell r="C12">
            <v>10.30000019073486</v>
          </cell>
        </row>
        <row r="13">
          <cell r="A13" t="str">
            <v>2021</v>
          </cell>
          <cell r="B13">
            <v>11.39999961853027</v>
          </cell>
          <cell r="C13">
            <v>10.60000038146973</v>
          </cell>
        </row>
        <row r="14">
          <cell r="A14" t="str">
            <v>2023</v>
          </cell>
          <cell r="B14">
            <v>10.69999980926514</v>
          </cell>
          <cell r="C14">
            <v>9.3999996185302734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DC7AB-2E66-454B-86F1-6DA7E40BF00B}">
  <dimension ref="A1:G28"/>
  <sheetViews>
    <sheetView topLeftCell="D1" workbookViewId="0">
      <selection activeCell="F19" sqref="F18:F19"/>
    </sheetView>
  </sheetViews>
  <sheetFormatPr baseColWidth="10" defaultRowHeight="14.4" x14ac:dyDescent="0.3"/>
  <sheetData>
    <row r="1" spans="1:7" x14ac:dyDescent="0.3">
      <c r="A1" t="s">
        <v>0</v>
      </c>
    </row>
    <row r="2" spans="1:7" x14ac:dyDescent="0.3">
      <c r="D2" t="s">
        <v>3</v>
      </c>
    </row>
    <row r="3" spans="1:7" x14ac:dyDescent="0.3">
      <c r="A3" t="s">
        <v>1</v>
      </c>
      <c r="B3" t="s">
        <v>7</v>
      </c>
      <c r="C3" t="s">
        <v>8</v>
      </c>
      <c r="D3" t="s">
        <v>1</v>
      </c>
      <c r="E3" t="s">
        <v>9</v>
      </c>
      <c r="F3" t="s">
        <v>10</v>
      </c>
    </row>
    <row r="4" spans="1:7" x14ac:dyDescent="0.3">
      <c r="A4">
        <v>2000</v>
      </c>
      <c r="B4">
        <v>0.56999999999999995</v>
      </c>
      <c r="C4" s="11">
        <v>0.53100001811981201</v>
      </c>
      <c r="D4">
        <v>2001</v>
      </c>
      <c r="E4" s="1">
        <v>0.58099999999999996</v>
      </c>
      <c r="F4" s="11">
        <v>0.5339999794960022</v>
      </c>
      <c r="G4" s="19"/>
    </row>
    <row r="5" spans="1:7" x14ac:dyDescent="0.3">
      <c r="A5">
        <v>2001</v>
      </c>
      <c r="B5" s="1">
        <v>0.58099999999999996</v>
      </c>
      <c r="C5" s="11">
        <v>0.5339999794960022</v>
      </c>
      <c r="D5">
        <v>2003</v>
      </c>
      <c r="E5" s="2">
        <v>0.55859999999999999</v>
      </c>
      <c r="F5" s="11">
        <v>0.53200000524520874</v>
      </c>
      <c r="G5" s="19"/>
    </row>
    <row r="6" spans="1:7" x14ac:dyDescent="0.3">
      <c r="A6">
        <v>2002</v>
      </c>
      <c r="B6" s="2">
        <v>0.52690000000000003</v>
      </c>
      <c r="C6" s="11">
        <v>0.5350000262260437</v>
      </c>
      <c r="D6">
        <v>2005</v>
      </c>
      <c r="E6" s="2">
        <v>0.54800000000000004</v>
      </c>
      <c r="F6" s="11">
        <v>0.52300000190734863</v>
      </c>
      <c r="G6" s="19"/>
    </row>
    <row r="7" spans="1:7" x14ac:dyDescent="0.3">
      <c r="A7">
        <v>2003</v>
      </c>
      <c r="B7" s="2">
        <v>0.55859999999999999</v>
      </c>
      <c r="C7" s="11">
        <v>0.53200000524520874</v>
      </c>
      <c r="D7">
        <v>2007</v>
      </c>
      <c r="E7" s="2">
        <v>0.55000000000000004</v>
      </c>
      <c r="F7" s="11">
        <v>0.51099997758865356</v>
      </c>
      <c r="G7" s="19"/>
    </row>
    <row r="8" spans="1:7" x14ac:dyDescent="0.3">
      <c r="A8">
        <v>2004</v>
      </c>
      <c r="B8" s="2">
        <v>0.56799999999999995</v>
      </c>
      <c r="C8" s="11">
        <v>0.52399998903274536</v>
      </c>
      <c r="D8">
        <v>2009</v>
      </c>
      <c r="E8" s="2">
        <v>0.504</v>
      </c>
      <c r="F8" s="11">
        <v>0.49200001358985901</v>
      </c>
      <c r="G8" s="19"/>
    </row>
    <row r="9" spans="1:7" x14ac:dyDescent="0.3">
      <c r="A9">
        <v>2005</v>
      </c>
      <c r="B9" s="2">
        <v>0.54800000000000004</v>
      </c>
      <c r="C9" s="11">
        <v>0.52300000190734863</v>
      </c>
      <c r="D9">
        <v>2011</v>
      </c>
      <c r="E9" s="2">
        <v>0.47320000000000001</v>
      </c>
      <c r="F9" s="11">
        <v>0.48399999737739557</v>
      </c>
      <c r="G9" s="19"/>
    </row>
    <row r="10" spans="1:7" x14ac:dyDescent="0.3">
      <c r="A10">
        <v>2006</v>
      </c>
      <c r="B10" s="2">
        <v>0.52600000000000002</v>
      </c>
      <c r="C10" s="11">
        <v>0.51499998569488525</v>
      </c>
      <c r="D10">
        <v>2013</v>
      </c>
      <c r="E10" s="2">
        <v>0.48499999999999999</v>
      </c>
      <c r="F10" s="11">
        <v>0.47900000214576721</v>
      </c>
      <c r="G10" s="19"/>
    </row>
    <row r="11" spans="1:7" x14ac:dyDescent="0.3">
      <c r="A11">
        <v>2007</v>
      </c>
      <c r="B11" s="2">
        <v>0.55000000000000004</v>
      </c>
      <c r="C11" s="11">
        <v>0.51099997758865356</v>
      </c>
      <c r="D11">
        <v>2015</v>
      </c>
      <c r="E11" s="2">
        <v>0.47570000000000001</v>
      </c>
      <c r="F11" s="11">
        <v>0.46599999070167542</v>
      </c>
      <c r="G11" s="19"/>
    </row>
    <row r="12" spans="1:7" x14ac:dyDescent="0.3">
      <c r="A12">
        <v>2008</v>
      </c>
      <c r="B12" s="2">
        <v>0.51400000000000001</v>
      </c>
      <c r="C12" s="11">
        <v>0.5</v>
      </c>
      <c r="D12">
        <v>2017</v>
      </c>
      <c r="E12" s="2">
        <v>0.45929999999999999</v>
      </c>
      <c r="F12" s="11">
        <v>0.46399998664855963</v>
      </c>
      <c r="G12" s="19"/>
    </row>
    <row r="13" spans="1:7" x14ac:dyDescent="0.3">
      <c r="A13">
        <v>2009</v>
      </c>
      <c r="B13" s="2">
        <v>0.504</v>
      </c>
      <c r="C13" s="11">
        <v>0.49200001358985901</v>
      </c>
      <c r="D13">
        <v>2019</v>
      </c>
      <c r="E13" s="2">
        <v>0.47339999999999999</v>
      </c>
      <c r="F13" s="11">
        <v>0.46200001239776611</v>
      </c>
      <c r="G13" s="19"/>
    </row>
    <row r="14" spans="1:7" x14ac:dyDescent="0.3">
      <c r="A14">
        <v>2010</v>
      </c>
      <c r="B14" s="2">
        <v>0.50800000000000001</v>
      </c>
      <c r="C14" s="11">
        <v>0.48800000548362732</v>
      </c>
      <c r="D14">
        <v>2021</v>
      </c>
      <c r="E14" s="2">
        <v>0.48599999999999999</v>
      </c>
      <c r="F14" s="11">
        <v>0.460999995470047</v>
      </c>
      <c r="G14" s="19"/>
    </row>
    <row r="15" spans="1:7" x14ac:dyDescent="0.3">
      <c r="A15">
        <v>2011</v>
      </c>
      <c r="B15" s="2">
        <v>0.47320000000000001</v>
      </c>
      <c r="C15" s="11">
        <v>0.48399999737739557</v>
      </c>
      <c r="D15">
        <v>2023</v>
      </c>
      <c r="E15" s="2">
        <v>0.45720593564451528</v>
      </c>
      <c r="F15" s="11">
        <v>0.45199999213218689</v>
      </c>
      <c r="G15" s="19"/>
    </row>
    <row r="16" spans="1:7" x14ac:dyDescent="0.3">
      <c r="A16">
        <v>2012</v>
      </c>
      <c r="B16" s="2">
        <v>0.47670000000000001</v>
      </c>
      <c r="C16" s="11">
        <v>0.4779999852180481</v>
      </c>
      <c r="D16">
        <v>2024</v>
      </c>
      <c r="E16" s="2">
        <v>0.46</v>
      </c>
      <c r="F16" s="5"/>
    </row>
    <row r="17" spans="1:3" x14ac:dyDescent="0.3">
      <c r="A17">
        <v>2013</v>
      </c>
      <c r="B17" s="2">
        <v>0.48499999999999999</v>
      </c>
      <c r="C17" s="11">
        <v>0.47900000214576721</v>
      </c>
    </row>
    <row r="18" spans="1:3" x14ac:dyDescent="0.3">
      <c r="A18">
        <v>2014</v>
      </c>
      <c r="B18" s="2">
        <v>0.46650000000000003</v>
      </c>
      <c r="C18" s="11">
        <v>0.47099998593330378</v>
      </c>
    </row>
    <row r="19" spans="1:3" x14ac:dyDescent="0.3">
      <c r="A19">
        <v>2015</v>
      </c>
      <c r="B19" s="2">
        <v>0.47570000000000001</v>
      </c>
      <c r="C19" s="11">
        <v>0.46599999070167542</v>
      </c>
    </row>
    <row r="20" spans="1:3" x14ac:dyDescent="0.3">
      <c r="A20">
        <v>2016</v>
      </c>
      <c r="B20" s="2">
        <v>0.46600000000000003</v>
      </c>
      <c r="C20" s="11">
        <v>0.46599999070167542</v>
      </c>
    </row>
    <row r="21" spans="1:3" x14ac:dyDescent="0.3">
      <c r="A21">
        <v>2017</v>
      </c>
      <c r="B21" s="2">
        <v>0.45929999999999999</v>
      </c>
      <c r="C21" s="11">
        <v>0.46399998664855963</v>
      </c>
    </row>
    <row r="22" spans="1:3" x14ac:dyDescent="0.3">
      <c r="A22">
        <v>2018</v>
      </c>
      <c r="B22" s="2">
        <v>0.46899999999999997</v>
      </c>
      <c r="C22" s="11">
        <v>0.460999995470047</v>
      </c>
    </row>
    <row r="23" spans="1:3" x14ac:dyDescent="0.3">
      <c r="A23">
        <v>2019</v>
      </c>
      <c r="B23" s="2">
        <v>0.47339999999999999</v>
      </c>
      <c r="C23" s="11">
        <v>0.46200001239776611</v>
      </c>
    </row>
    <row r="24" spans="1:3" x14ac:dyDescent="0.3">
      <c r="A24">
        <v>2020</v>
      </c>
      <c r="B24" s="2">
        <v>0.49769999999999998</v>
      </c>
      <c r="C24" s="11">
        <v>0.46399998664855963</v>
      </c>
    </row>
    <row r="25" spans="1:3" x14ac:dyDescent="0.3">
      <c r="A25">
        <v>2021</v>
      </c>
      <c r="B25" s="2">
        <v>0.48599999999999999</v>
      </c>
      <c r="C25" s="11">
        <v>0.460999995470047</v>
      </c>
    </row>
    <row r="26" spans="1:3" x14ac:dyDescent="0.3">
      <c r="A26">
        <v>2022</v>
      </c>
      <c r="B26" s="2">
        <v>0.46590505436662949</v>
      </c>
      <c r="C26" s="11">
        <v>0.45300000905990601</v>
      </c>
    </row>
    <row r="27" spans="1:3" x14ac:dyDescent="0.3">
      <c r="A27">
        <v>2023</v>
      </c>
      <c r="B27" s="2">
        <v>0.45720593564451528</v>
      </c>
      <c r="C27" s="11">
        <v>0.45199999213218689</v>
      </c>
    </row>
    <row r="28" spans="1:3" x14ac:dyDescent="0.3">
      <c r="A28">
        <v>2024</v>
      </c>
      <c r="B28" s="2">
        <v>0.46326720790839798</v>
      </c>
      <c r="C28" s="11">
        <v>0.44900000095367432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B8C0-3D73-4996-8007-9A50A5A11F78}">
  <dimension ref="A1:E36"/>
  <sheetViews>
    <sheetView topLeftCell="C1" workbookViewId="0">
      <selection activeCell="F14" sqref="F14"/>
    </sheetView>
  </sheetViews>
  <sheetFormatPr baseColWidth="10" defaultRowHeight="14.4" x14ac:dyDescent="0.3"/>
  <sheetData>
    <row r="1" spans="1:5" x14ac:dyDescent="0.3">
      <c r="A1" t="s">
        <v>1</v>
      </c>
      <c r="B1" t="s">
        <v>2</v>
      </c>
      <c r="D1" t="s">
        <v>1</v>
      </c>
      <c r="E1" t="s">
        <v>2</v>
      </c>
    </row>
    <row r="2" spans="1:5" x14ac:dyDescent="0.3">
      <c r="A2">
        <v>1990</v>
      </c>
      <c r="B2" s="5">
        <v>0.45300000000000001</v>
      </c>
      <c r="D2">
        <v>1991</v>
      </c>
      <c r="E2" s="5">
        <v>0.48699999999999999</v>
      </c>
    </row>
    <row r="3" spans="1:5" x14ac:dyDescent="0.3">
      <c r="A3">
        <v>1991</v>
      </c>
      <c r="B3" s="5">
        <v>0.48699999999999999</v>
      </c>
      <c r="D3">
        <v>1993</v>
      </c>
      <c r="E3" s="5">
        <v>0.51</v>
      </c>
    </row>
    <row r="4" spans="1:5" x14ac:dyDescent="0.3">
      <c r="A4">
        <v>1992</v>
      </c>
      <c r="B4" s="5">
        <v>0.47599999999999998</v>
      </c>
      <c r="D4">
        <v>1995</v>
      </c>
      <c r="E4" s="5">
        <v>0.49199999999999999</v>
      </c>
    </row>
    <row r="5" spans="1:5" x14ac:dyDescent="0.3">
      <c r="A5">
        <v>1993</v>
      </c>
      <c r="B5" s="5">
        <v>0.51</v>
      </c>
      <c r="D5">
        <v>1997</v>
      </c>
      <c r="E5" s="5">
        <v>0.47899999999999998</v>
      </c>
    </row>
    <row r="6" spans="1:5" x14ac:dyDescent="0.3">
      <c r="A6">
        <v>1994</v>
      </c>
      <c r="B6" s="5">
        <v>0.503</v>
      </c>
      <c r="D6">
        <v>1999</v>
      </c>
      <c r="E6" s="5">
        <v>0.53400000000000003</v>
      </c>
    </row>
    <row r="7" spans="1:5" x14ac:dyDescent="0.3">
      <c r="A7">
        <v>1995</v>
      </c>
      <c r="B7" s="5">
        <v>0.49199999999999999</v>
      </c>
      <c r="D7">
        <v>2001</v>
      </c>
      <c r="E7" s="4">
        <v>0.57499999999999996</v>
      </c>
    </row>
    <row r="8" spans="1:5" x14ac:dyDescent="0.3">
      <c r="A8">
        <v>1996</v>
      </c>
      <c r="B8" s="5">
        <v>0.47299999999999998</v>
      </c>
      <c r="D8">
        <v>2003</v>
      </c>
      <c r="E8" s="5">
        <v>0.53800000000000003</v>
      </c>
    </row>
    <row r="9" spans="1:5" x14ac:dyDescent="0.3">
      <c r="A9">
        <v>1997</v>
      </c>
      <c r="B9" s="5">
        <v>0.47899999999999998</v>
      </c>
      <c r="D9">
        <v>2005</v>
      </c>
      <c r="E9" s="5">
        <v>0.52400000000000002</v>
      </c>
    </row>
    <row r="10" spans="1:5" x14ac:dyDescent="0.3">
      <c r="A10">
        <v>1998</v>
      </c>
      <c r="B10" s="5">
        <v>0.49</v>
      </c>
      <c r="D10">
        <v>2007</v>
      </c>
      <c r="E10" s="5">
        <v>0.52100000000000002</v>
      </c>
    </row>
    <row r="11" spans="1:5" x14ac:dyDescent="0.3">
      <c r="A11">
        <v>1999</v>
      </c>
      <c r="B11" s="5">
        <v>0.53400000000000003</v>
      </c>
      <c r="D11">
        <v>2009</v>
      </c>
      <c r="E11" s="5">
        <v>0.48199999999999998</v>
      </c>
    </row>
    <row r="12" spans="1:5" x14ac:dyDescent="0.3">
      <c r="A12">
        <v>2000</v>
      </c>
      <c r="B12" s="5">
        <v>0.55400000000000005</v>
      </c>
      <c r="D12">
        <v>2011</v>
      </c>
      <c r="E12" s="5">
        <v>0.44130000000000003</v>
      </c>
    </row>
    <row r="13" spans="1:5" x14ac:dyDescent="0.3">
      <c r="A13" s="3">
        <v>2001</v>
      </c>
      <c r="B13" s="4">
        <v>0.59</v>
      </c>
      <c r="D13">
        <v>2013</v>
      </c>
      <c r="E13" s="5">
        <v>0.4708</v>
      </c>
    </row>
    <row r="14" spans="1:5" x14ac:dyDescent="0.3">
      <c r="A14">
        <v>2002</v>
      </c>
      <c r="B14" s="5">
        <v>0.52600000000000002</v>
      </c>
      <c r="D14">
        <v>2015</v>
      </c>
      <c r="E14" s="5">
        <v>0.45440000000000003</v>
      </c>
    </row>
    <row r="15" spans="1:5" x14ac:dyDescent="0.3">
      <c r="A15">
        <v>2003</v>
      </c>
      <c r="B15" s="5">
        <v>0.53800000000000003</v>
      </c>
      <c r="D15">
        <v>2017</v>
      </c>
      <c r="E15" s="5">
        <v>0.43490000000000001</v>
      </c>
    </row>
    <row r="16" spans="1:5" x14ac:dyDescent="0.3">
      <c r="A16">
        <v>2004</v>
      </c>
      <c r="B16" s="5">
        <v>0.54100000000000004</v>
      </c>
      <c r="D16">
        <v>2019</v>
      </c>
      <c r="E16" s="5">
        <v>0.4536</v>
      </c>
    </row>
    <row r="17" spans="1:5" x14ac:dyDescent="0.3">
      <c r="A17">
        <v>2005</v>
      </c>
      <c r="B17" s="5">
        <v>0.52400000000000002</v>
      </c>
      <c r="D17">
        <v>2021</v>
      </c>
      <c r="E17" s="5">
        <v>0.46550000000000002</v>
      </c>
    </row>
    <row r="18" spans="1:5" x14ac:dyDescent="0.3">
      <c r="A18">
        <v>2006</v>
      </c>
      <c r="B18" s="5">
        <v>0.5</v>
      </c>
      <c r="D18">
        <v>2023</v>
      </c>
      <c r="E18" s="5">
        <v>0.43208480286619461</v>
      </c>
    </row>
    <row r="19" spans="1:5" x14ac:dyDescent="0.3">
      <c r="A19">
        <v>2007</v>
      </c>
      <c r="B19" s="5">
        <v>0.52100000000000002</v>
      </c>
      <c r="D19">
        <v>2024</v>
      </c>
      <c r="E19" s="5">
        <v>0.44600000000000001</v>
      </c>
    </row>
    <row r="20" spans="1:5" x14ac:dyDescent="0.3">
      <c r="A20">
        <v>2008</v>
      </c>
      <c r="B20" s="5">
        <v>0.48199999999999998</v>
      </c>
    </row>
    <row r="21" spans="1:5" x14ac:dyDescent="0.3">
      <c r="A21">
        <v>2009</v>
      </c>
      <c r="B21" s="5">
        <v>0.48199999999999998</v>
      </c>
    </row>
    <row r="22" spans="1:5" x14ac:dyDescent="0.3">
      <c r="A22">
        <v>2010</v>
      </c>
      <c r="B22" s="5">
        <v>0.49</v>
      </c>
    </row>
    <row r="23" spans="1:5" x14ac:dyDescent="0.3">
      <c r="A23">
        <v>2011</v>
      </c>
      <c r="B23" s="5">
        <v>0.44130000000000003</v>
      </c>
    </row>
    <row r="24" spans="1:5" x14ac:dyDescent="0.3">
      <c r="A24">
        <v>2012</v>
      </c>
      <c r="B24" s="5">
        <v>0.44469999999999998</v>
      </c>
    </row>
    <row r="25" spans="1:5" x14ac:dyDescent="0.3">
      <c r="A25">
        <v>2013</v>
      </c>
      <c r="B25" s="5">
        <v>0.4708</v>
      </c>
    </row>
    <row r="26" spans="1:5" x14ac:dyDescent="0.3">
      <c r="A26">
        <v>2014</v>
      </c>
      <c r="B26" s="5">
        <v>0.45800000000000002</v>
      </c>
    </row>
    <row r="27" spans="1:5" x14ac:dyDescent="0.3">
      <c r="A27">
        <v>2015</v>
      </c>
      <c r="B27" s="5">
        <v>0.45440000000000003</v>
      </c>
    </row>
    <row r="28" spans="1:5" x14ac:dyDescent="0.3">
      <c r="A28">
        <v>2016</v>
      </c>
      <c r="B28" s="5">
        <v>0.44969999999999999</v>
      </c>
    </row>
    <row r="29" spans="1:5" x14ac:dyDescent="0.3">
      <c r="A29">
        <v>2017</v>
      </c>
      <c r="B29" s="5">
        <v>0.43490000000000001</v>
      </c>
    </row>
    <row r="30" spans="1:5" x14ac:dyDescent="0.3">
      <c r="A30">
        <v>2018</v>
      </c>
      <c r="B30" s="5">
        <v>0.4521</v>
      </c>
    </row>
    <row r="31" spans="1:5" x14ac:dyDescent="0.3">
      <c r="A31">
        <v>2019</v>
      </c>
      <c r="B31" s="5">
        <v>0.4536</v>
      </c>
    </row>
    <row r="32" spans="1:5" x14ac:dyDescent="0.3">
      <c r="A32">
        <v>2020</v>
      </c>
      <c r="B32" s="5">
        <v>0.48120000000000002</v>
      </c>
    </row>
    <row r="33" spans="1:2" x14ac:dyDescent="0.3">
      <c r="A33">
        <v>2021</v>
      </c>
      <c r="B33" s="5">
        <v>0.46550000000000002</v>
      </c>
    </row>
    <row r="34" spans="1:2" x14ac:dyDescent="0.3">
      <c r="A34">
        <v>2022</v>
      </c>
      <c r="B34" s="5">
        <v>0.45063450022510848</v>
      </c>
    </row>
    <row r="35" spans="1:2" x14ac:dyDescent="0.3">
      <c r="A35">
        <v>2023</v>
      </c>
      <c r="B35" s="5">
        <v>0.43208480286619461</v>
      </c>
    </row>
    <row r="36" spans="1:2" x14ac:dyDescent="0.3">
      <c r="A36">
        <v>2024</v>
      </c>
      <c r="B36" s="5">
        <v>0.44571227759394799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8024-A723-47F0-A1AB-85B6689303F9}">
  <dimension ref="A1:E28"/>
  <sheetViews>
    <sheetView topLeftCell="E1" workbookViewId="0">
      <selection activeCell="H16" sqref="H16"/>
    </sheetView>
  </sheetViews>
  <sheetFormatPr baseColWidth="10" defaultRowHeight="14.4" x14ac:dyDescent="0.3"/>
  <sheetData>
    <row r="1" spans="1:5" x14ac:dyDescent="0.3">
      <c r="A1" t="s">
        <v>4</v>
      </c>
    </row>
    <row r="3" spans="1:5" x14ac:dyDescent="0.3">
      <c r="A3" t="s">
        <v>1</v>
      </c>
      <c r="B3" t="s">
        <v>5</v>
      </c>
      <c r="D3" t="s">
        <v>1</v>
      </c>
      <c r="E3" t="s">
        <v>6</v>
      </c>
    </row>
    <row r="4" spans="1:5" x14ac:dyDescent="0.3">
      <c r="A4">
        <v>2000</v>
      </c>
      <c r="B4" s="6">
        <v>0.53800000000000003</v>
      </c>
      <c r="D4">
        <v>2001</v>
      </c>
      <c r="E4" s="30">
        <v>0.51900000000000002</v>
      </c>
    </row>
    <row r="5" spans="1:5" x14ac:dyDescent="0.3">
      <c r="A5">
        <v>2001</v>
      </c>
      <c r="B5" s="6">
        <v>0.53800000000000003</v>
      </c>
      <c r="D5">
        <v>2003</v>
      </c>
      <c r="E5" s="30">
        <v>0.49299999999999999</v>
      </c>
    </row>
    <row r="6" spans="1:5" x14ac:dyDescent="0.3">
      <c r="A6">
        <v>2002</v>
      </c>
      <c r="D6">
        <v>2005</v>
      </c>
      <c r="E6" s="30">
        <v>0.49399999999999999</v>
      </c>
    </row>
    <row r="7" spans="1:5" x14ac:dyDescent="0.3">
      <c r="A7">
        <v>2003</v>
      </c>
      <c r="B7" s="6">
        <v>0.49299999999999999</v>
      </c>
      <c r="D7">
        <v>2007</v>
      </c>
      <c r="E7" s="31">
        <v>0.50090000000000001</v>
      </c>
    </row>
    <row r="8" spans="1:5" x14ac:dyDescent="0.3">
      <c r="A8">
        <v>2004</v>
      </c>
      <c r="B8" s="6">
        <v>0.48799999999999999</v>
      </c>
      <c r="D8">
        <v>2009</v>
      </c>
      <c r="E8" s="31">
        <v>0.45490000000000003</v>
      </c>
    </row>
    <row r="9" spans="1:5" x14ac:dyDescent="0.3">
      <c r="A9">
        <v>2005</v>
      </c>
      <c r="B9" s="6">
        <v>0.49399999999999999</v>
      </c>
      <c r="D9">
        <v>2011</v>
      </c>
      <c r="E9" s="31">
        <v>0.45639999999999997</v>
      </c>
    </row>
    <row r="10" spans="1:5" x14ac:dyDescent="0.3">
      <c r="A10">
        <v>2006</v>
      </c>
      <c r="B10" s="6">
        <v>0.47599999999999998</v>
      </c>
      <c r="D10">
        <v>2013</v>
      </c>
      <c r="E10" s="31">
        <v>0.44069999999999998</v>
      </c>
    </row>
    <row r="11" spans="1:5" x14ac:dyDescent="0.3">
      <c r="A11">
        <v>2007</v>
      </c>
      <c r="B11" s="9">
        <v>0.50090000000000001</v>
      </c>
      <c r="D11">
        <v>2015</v>
      </c>
      <c r="E11" s="31">
        <v>0.4748</v>
      </c>
    </row>
    <row r="12" spans="1:5" x14ac:dyDescent="0.3">
      <c r="A12">
        <v>2008</v>
      </c>
      <c r="B12" s="9">
        <v>0.47899999999999998</v>
      </c>
      <c r="D12">
        <v>2017</v>
      </c>
      <c r="E12" s="31">
        <v>0.46289999999999998</v>
      </c>
    </row>
    <row r="13" spans="1:5" x14ac:dyDescent="0.3">
      <c r="A13">
        <v>2009</v>
      </c>
      <c r="B13" s="9">
        <v>0.45490000000000003</v>
      </c>
      <c r="D13">
        <v>2019</v>
      </c>
      <c r="E13" s="31">
        <v>0.44400000000000001</v>
      </c>
    </row>
    <row r="14" spans="1:5" x14ac:dyDescent="0.3">
      <c r="A14">
        <v>2010</v>
      </c>
      <c r="B14" s="9">
        <v>0.44140000000000001</v>
      </c>
      <c r="D14">
        <v>2021</v>
      </c>
      <c r="E14" s="31">
        <v>0.42570000000000002</v>
      </c>
    </row>
    <row r="15" spans="1:5" x14ac:dyDescent="0.3">
      <c r="A15">
        <v>2011</v>
      </c>
      <c r="B15" s="9">
        <v>0.45639999999999997</v>
      </c>
      <c r="D15">
        <v>2023</v>
      </c>
      <c r="E15" s="31">
        <v>0.47033434176234301</v>
      </c>
    </row>
    <row r="16" spans="1:5" x14ac:dyDescent="0.3">
      <c r="A16">
        <v>2012</v>
      </c>
      <c r="B16" s="9">
        <v>0.45569999999999999</v>
      </c>
      <c r="D16">
        <v>2024</v>
      </c>
      <c r="E16" s="31">
        <v>0.46</v>
      </c>
    </row>
    <row r="17" spans="1:5" x14ac:dyDescent="0.3">
      <c r="A17">
        <v>2013</v>
      </c>
      <c r="B17" s="9">
        <v>0.44069999999999998</v>
      </c>
      <c r="D17" s="7"/>
      <c r="E17" s="9"/>
    </row>
    <row r="18" spans="1:5" x14ac:dyDescent="0.3">
      <c r="A18">
        <v>2014</v>
      </c>
      <c r="B18" s="9">
        <v>0.43959999999999999</v>
      </c>
      <c r="D18" s="7"/>
      <c r="E18" s="9"/>
    </row>
    <row r="19" spans="1:5" x14ac:dyDescent="0.3">
      <c r="A19">
        <v>2015</v>
      </c>
      <c r="B19" s="9">
        <v>0.4748</v>
      </c>
      <c r="D19" s="8"/>
      <c r="E19" s="9"/>
    </row>
    <row r="20" spans="1:5" x14ac:dyDescent="0.3">
      <c r="A20">
        <v>2016</v>
      </c>
      <c r="B20" s="9">
        <v>0.45579999999999998</v>
      </c>
      <c r="E20" s="9"/>
    </row>
    <row r="21" spans="1:5" x14ac:dyDescent="0.3">
      <c r="A21">
        <v>2017</v>
      </c>
      <c r="B21" s="9">
        <v>0.46289999999999998</v>
      </c>
      <c r="E21" s="9"/>
    </row>
    <row r="22" spans="1:5" x14ac:dyDescent="0.3">
      <c r="A22">
        <v>2018</v>
      </c>
      <c r="B22" s="9">
        <v>0.44019999999999998</v>
      </c>
      <c r="E22" s="9"/>
    </row>
    <row r="23" spans="1:5" x14ac:dyDescent="0.3">
      <c r="A23">
        <v>2019</v>
      </c>
      <c r="B23" s="9">
        <v>0.44400000000000001</v>
      </c>
      <c r="E23" s="9"/>
    </row>
    <row r="24" spans="1:5" x14ac:dyDescent="0.3">
      <c r="A24">
        <v>2020</v>
      </c>
      <c r="B24" s="9">
        <v>0.47489999999999999</v>
      </c>
      <c r="E24" s="9"/>
    </row>
    <row r="25" spans="1:5" x14ac:dyDescent="0.3">
      <c r="A25">
        <v>2021</v>
      </c>
      <c r="B25" s="9">
        <v>0.42570000000000002</v>
      </c>
      <c r="E25" s="9"/>
    </row>
    <row r="26" spans="1:5" x14ac:dyDescent="0.3">
      <c r="A26">
        <v>2022</v>
      </c>
      <c r="B26" s="9">
        <v>0.43309363887957802</v>
      </c>
      <c r="E26" s="9"/>
    </row>
    <row r="27" spans="1:5" x14ac:dyDescent="0.3">
      <c r="A27">
        <v>2023</v>
      </c>
      <c r="B27" s="9">
        <v>0.47033434176234301</v>
      </c>
      <c r="E27" s="9"/>
    </row>
    <row r="28" spans="1:5" x14ac:dyDescent="0.3">
      <c r="A28">
        <v>2024</v>
      </c>
      <c r="B28" s="10">
        <v>0.4629635367373478</v>
      </c>
      <c r="E28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77DA-7A6A-43D9-88BB-8DEFE94D72EA}">
  <dimension ref="A1:Q59"/>
  <sheetViews>
    <sheetView tabSelected="1" topLeftCell="AN20" zoomScale="47" workbookViewId="0">
      <selection activeCell="R18" sqref="R18"/>
    </sheetView>
  </sheetViews>
  <sheetFormatPr baseColWidth="10" defaultRowHeight="14.4" x14ac:dyDescent="0.3"/>
  <sheetData>
    <row r="1" spans="1:17" x14ac:dyDescent="0.3">
      <c r="A1" t="s">
        <v>44</v>
      </c>
      <c r="L1" t="s">
        <v>101</v>
      </c>
    </row>
    <row r="2" spans="1:17" ht="43.2" x14ac:dyDescent="0.3">
      <c r="A2" t="s">
        <v>1</v>
      </c>
      <c r="B2" t="s">
        <v>26</v>
      </c>
      <c r="C2" t="s">
        <v>27</v>
      </c>
      <c r="D2" t="s">
        <v>28</v>
      </c>
      <c r="E2" t="s">
        <v>30</v>
      </c>
      <c r="F2" t="s">
        <v>31</v>
      </c>
      <c r="G2" t="s">
        <v>49</v>
      </c>
      <c r="H2" s="18" t="s">
        <v>1</v>
      </c>
      <c r="I2" s="12" t="s">
        <v>29</v>
      </c>
      <c r="J2" t="s">
        <v>100</v>
      </c>
      <c r="K2" t="s">
        <v>1</v>
      </c>
      <c r="L2" t="s">
        <v>26</v>
      </c>
      <c r="M2" t="s">
        <v>27</v>
      </c>
      <c r="N2" t="s">
        <v>103</v>
      </c>
      <c r="O2" t="s">
        <v>45</v>
      </c>
      <c r="P2" t="s">
        <v>42</v>
      </c>
      <c r="Q2" t="s">
        <v>39</v>
      </c>
    </row>
    <row r="3" spans="1:17" x14ac:dyDescent="0.3">
      <c r="A3">
        <v>2001</v>
      </c>
      <c r="B3" s="22">
        <v>124.8</v>
      </c>
      <c r="C3" s="21">
        <v>336.9</v>
      </c>
      <c r="D3" s="22">
        <v>85.65</v>
      </c>
      <c r="E3" s="5">
        <f>B3/D3</f>
        <v>1.4570928196147108</v>
      </c>
      <c r="F3" s="5">
        <f>C3/D3</f>
        <v>3.9334500875656739</v>
      </c>
      <c r="G3" s="5">
        <f>F3-E3</f>
        <v>2.4763572679509629</v>
      </c>
      <c r="H3" s="20">
        <v>2000</v>
      </c>
      <c r="I3" s="20">
        <v>57</v>
      </c>
      <c r="J3">
        <v>2.2497940925452165</v>
      </c>
      <c r="K3">
        <v>2001</v>
      </c>
      <c r="L3">
        <f>B3*J3</f>
        <v>280.77430274964303</v>
      </c>
      <c r="M3">
        <f>C3*J3</f>
        <v>757.9556297784834</v>
      </c>
      <c r="N3" s="5">
        <f>M3/L3</f>
        <v>2.6995192307692304</v>
      </c>
      <c r="O3" s="5">
        <v>1.2806629834254146</v>
      </c>
      <c r="P3" s="5">
        <v>1.4855769230769231</v>
      </c>
      <c r="Q3" s="5">
        <v>1.6272991287512102</v>
      </c>
    </row>
    <row r="4" spans="1:17" x14ac:dyDescent="0.3">
      <c r="A4">
        <v>2003</v>
      </c>
      <c r="B4" s="22">
        <v>134.30000000000001</v>
      </c>
      <c r="C4" s="21">
        <v>382.1</v>
      </c>
      <c r="D4" s="22">
        <v>129.91</v>
      </c>
      <c r="E4" s="5">
        <f t="shared" ref="E4:E14" si="0">B4/D4</f>
        <v>1.0337926256639214</v>
      </c>
      <c r="F4" s="5">
        <f t="shared" ref="F4:F14" si="1">C4/D4</f>
        <v>2.9412670310214768</v>
      </c>
      <c r="G4" s="5">
        <f t="shared" ref="G4:G14" si="2">F4-E4</f>
        <v>1.9074744053575554</v>
      </c>
      <c r="H4" s="20">
        <v>2001</v>
      </c>
      <c r="I4" s="20">
        <v>85.65</v>
      </c>
      <c r="J4">
        <v>1.8374855020596765</v>
      </c>
      <c r="K4">
        <v>2003</v>
      </c>
      <c r="L4">
        <f t="shared" ref="L4:L14" si="3">B4*J4</f>
        <v>246.77430292661458</v>
      </c>
      <c r="M4">
        <f t="shared" ref="M4:M14" si="4">C4*J4</f>
        <v>702.10321033700245</v>
      </c>
      <c r="N4" s="5">
        <f t="shared" ref="N4:N14" si="5">M4/L4</f>
        <v>2.8451228592702904</v>
      </c>
      <c r="O4" s="5">
        <v>1.5938123752495008</v>
      </c>
      <c r="P4" s="5">
        <v>1.3920668058455117</v>
      </c>
      <c r="Q4" s="5">
        <v>1.605868564979599</v>
      </c>
    </row>
    <row r="5" spans="1:17" x14ac:dyDescent="0.3">
      <c r="A5">
        <v>2005</v>
      </c>
      <c r="B5" s="22">
        <v>183.5</v>
      </c>
      <c r="C5" s="21">
        <v>503.02</v>
      </c>
      <c r="D5" s="22">
        <v>150</v>
      </c>
      <c r="E5" s="5">
        <f t="shared" si="0"/>
        <v>1.2233333333333334</v>
      </c>
      <c r="F5" s="5">
        <f t="shared" si="1"/>
        <v>3.3534666666666664</v>
      </c>
      <c r="G5" s="5">
        <f t="shared" si="2"/>
        <v>2.1301333333333332</v>
      </c>
      <c r="H5" s="20">
        <v>2002</v>
      </c>
      <c r="I5" s="20">
        <v>104.88</v>
      </c>
      <c r="J5">
        <v>1.6802823056909819</v>
      </c>
      <c r="K5">
        <v>2005</v>
      </c>
      <c r="L5">
        <f t="shared" si="3"/>
        <v>308.3318030942952</v>
      </c>
      <c r="M5">
        <f t="shared" si="4"/>
        <v>845.21560540867767</v>
      </c>
      <c r="N5" s="5">
        <f t="shared" si="5"/>
        <v>2.7412534059945499</v>
      </c>
      <c r="O5" s="5">
        <v>1.6350198110332217</v>
      </c>
      <c r="P5" s="5">
        <v>1.319536831731954</v>
      </c>
      <c r="Q5" s="5">
        <v>1.7790985636453687</v>
      </c>
    </row>
    <row r="6" spans="1:17" x14ac:dyDescent="0.3">
      <c r="A6">
        <v>2007</v>
      </c>
      <c r="B6" s="22">
        <v>233.8</v>
      </c>
      <c r="C6" s="21">
        <v>667.55</v>
      </c>
      <c r="D6" s="22">
        <v>170</v>
      </c>
      <c r="E6" s="5">
        <f t="shared" si="0"/>
        <v>1.375294117647059</v>
      </c>
      <c r="F6" s="5">
        <f t="shared" si="1"/>
        <v>3.9267647058823525</v>
      </c>
      <c r="G6" s="5">
        <f t="shared" si="2"/>
        <v>2.5514705882352935</v>
      </c>
      <c r="H6" s="20">
        <v>2003</v>
      </c>
      <c r="I6" s="20">
        <v>129.91</v>
      </c>
      <c r="J6">
        <v>1.5841277255417112</v>
      </c>
      <c r="K6">
        <v>2007</v>
      </c>
      <c r="L6">
        <f t="shared" si="3"/>
        <v>370.36906223165209</v>
      </c>
      <c r="M6">
        <f t="shared" si="4"/>
        <v>1057.4844631853693</v>
      </c>
      <c r="N6" s="5">
        <f t="shared" si="5"/>
        <v>2.8552181351582551</v>
      </c>
      <c r="O6" s="5">
        <v>1.9676504664918593</v>
      </c>
      <c r="P6" s="5">
        <v>1.3742121235701501</v>
      </c>
      <c r="Q6" s="5">
        <v>1.908150816243537</v>
      </c>
    </row>
    <row r="7" spans="1:17" x14ac:dyDescent="0.3">
      <c r="A7">
        <v>2009</v>
      </c>
      <c r="B7" s="22">
        <v>252.43</v>
      </c>
      <c r="C7" s="21">
        <v>611</v>
      </c>
      <c r="D7" s="22">
        <v>218</v>
      </c>
      <c r="E7" s="5">
        <f t="shared" si="0"/>
        <v>1.1579357798165137</v>
      </c>
      <c r="F7" s="5">
        <f t="shared" si="1"/>
        <v>2.8027522935779818</v>
      </c>
      <c r="G7" s="5">
        <f t="shared" si="2"/>
        <v>1.6448165137614681</v>
      </c>
      <c r="H7" s="20">
        <v>2004</v>
      </c>
      <c r="I7" s="20">
        <v>135.63</v>
      </c>
      <c r="J7">
        <v>1.5538955007344579</v>
      </c>
      <c r="K7">
        <v>2009</v>
      </c>
      <c r="L7">
        <f t="shared" si="3"/>
        <v>392.24984125039924</v>
      </c>
      <c r="M7">
        <f t="shared" si="4"/>
        <v>949.43015094875375</v>
      </c>
      <c r="N7" s="5">
        <f t="shared" si="5"/>
        <v>2.4204730024165113</v>
      </c>
      <c r="O7" s="5">
        <v>2.0450779866308628</v>
      </c>
      <c r="P7" s="5">
        <v>1.2848529143065963</v>
      </c>
      <c r="Q7" s="5">
        <v>1.6877069641856435</v>
      </c>
    </row>
    <row r="8" spans="1:17" x14ac:dyDescent="0.3">
      <c r="A8">
        <v>2011</v>
      </c>
      <c r="B8" s="22">
        <v>308.8</v>
      </c>
      <c r="C8" s="21">
        <v>661.8</v>
      </c>
      <c r="D8" s="22">
        <v>264</v>
      </c>
      <c r="E8" s="5">
        <f t="shared" si="0"/>
        <v>1.1696969696969697</v>
      </c>
      <c r="F8" s="5">
        <f t="shared" si="1"/>
        <v>2.5068181818181818</v>
      </c>
      <c r="G8" s="5">
        <f t="shared" si="2"/>
        <v>1.3371212121212122</v>
      </c>
      <c r="H8" s="20">
        <v>2005</v>
      </c>
      <c r="I8" s="20">
        <v>150</v>
      </c>
      <c r="J8">
        <v>1.5066730632097469</v>
      </c>
      <c r="K8">
        <v>2011</v>
      </c>
      <c r="L8">
        <f t="shared" si="3"/>
        <v>465.26064191916987</v>
      </c>
      <c r="M8">
        <f t="shared" si="4"/>
        <v>997.11623323221045</v>
      </c>
      <c r="N8" s="5">
        <f t="shared" si="5"/>
        <v>2.1431347150259064</v>
      </c>
      <c r="O8" s="5">
        <v>2.0226507200390529</v>
      </c>
      <c r="P8" s="5">
        <v>1.2453318877243704</v>
      </c>
      <c r="Q8" s="5">
        <v>1.6730556736081597</v>
      </c>
    </row>
    <row r="9" spans="1:17" x14ac:dyDescent="0.3">
      <c r="A9">
        <v>2013</v>
      </c>
      <c r="B9" s="22">
        <v>354.08</v>
      </c>
      <c r="C9" s="21">
        <v>892.36</v>
      </c>
      <c r="D9" s="22">
        <v>318</v>
      </c>
      <c r="E9" s="5">
        <f t="shared" si="0"/>
        <v>1.1134591194968553</v>
      </c>
      <c r="F9" s="5">
        <f t="shared" si="1"/>
        <v>2.8061635220125787</v>
      </c>
      <c r="G9" s="5">
        <f t="shared" si="2"/>
        <v>1.6927044025157234</v>
      </c>
      <c r="H9" s="20">
        <v>2006</v>
      </c>
      <c r="I9" s="20">
        <v>160</v>
      </c>
      <c r="J9">
        <v>1.4646465726235942</v>
      </c>
      <c r="K9">
        <v>2013</v>
      </c>
      <c r="L9">
        <f t="shared" si="3"/>
        <v>518.6020584345622</v>
      </c>
      <c r="M9">
        <f t="shared" si="4"/>
        <v>1306.9920155463906</v>
      </c>
      <c r="N9" s="5">
        <f t="shared" si="5"/>
        <v>2.5202214188883869</v>
      </c>
      <c r="O9" s="5">
        <v>1.7909489447548108</v>
      </c>
      <c r="P9" s="5">
        <v>1.2620528384496739</v>
      </c>
      <c r="Q9" s="5">
        <v>1.6558813383925493</v>
      </c>
    </row>
    <row r="10" spans="1:17" x14ac:dyDescent="0.3">
      <c r="A10">
        <v>2015</v>
      </c>
      <c r="B10" s="22">
        <v>401.5</v>
      </c>
      <c r="C10" s="21">
        <v>935.9</v>
      </c>
      <c r="D10" s="22">
        <v>354</v>
      </c>
      <c r="E10" s="5">
        <f t="shared" si="0"/>
        <v>1.134180790960452</v>
      </c>
      <c r="F10" s="5">
        <f t="shared" si="1"/>
        <v>2.6437853107344633</v>
      </c>
      <c r="G10" s="5">
        <f t="shared" si="2"/>
        <v>1.5096045197740113</v>
      </c>
      <c r="H10" s="20">
        <v>2007</v>
      </c>
      <c r="I10" s="20">
        <v>170</v>
      </c>
      <c r="J10">
        <v>1.4175868508422624</v>
      </c>
      <c r="K10">
        <v>2015</v>
      </c>
      <c r="L10">
        <f t="shared" si="3"/>
        <v>569.16112061316835</v>
      </c>
      <c r="M10">
        <f t="shared" si="4"/>
        <v>1326.7195337032733</v>
      </c>
      <c r="N10" s="5">
        <f t="shared" si="5"/>
        <v>2.3310087173100871</v>
      </c>
      <c r="O10" s="5">
        <v>1.8422667388558023</v>
      </c>
      <c r="P10" s="5">
        <v>1.2761573332112275</v>
      </c>
      <c r="Q10" s="5">
        <v>1.7050469103849886</v>
      </c>
    </row>
    <row r="11" spans="1:17" x14ac:dyDescent="0.3">
      <c r="A11">
        <v>2017</v>
      </c>
      <c r="B11" s="22">
        <v>399.04</v>
      </c>
      <c r="C11" s="21">
        <v>871.21</v>
      </c>
      <c r="D11" s="22">
        <v>375</v>
      </c>
      <c r="E11" s="5">
        <f t="shared" si="0"/>
        <v>1.0641066666666668</v>
      </c>
      <c r="F11" s="5">
        <f t="shared" si="1"/>
        <v>2.3232266666666668</v>
      </c>
      <c r="G11" s="5">
        <f t="shared" si="2"/>
        <v>1.25912</v>
      </c>
      <c r="H11" s="20">
        <v>2008</v>
      </c>
      <c r="I11" s="20">
        <v>200</v>
      </c>
      <c r="J11">
        <v>1.3025634468650504</v>
      </c>
      <c r="K11">
        <v>2017</v>
      </c>
      <c r="L11">
        <f t="shared" si="3"/>
        <v>519.77491783702976</v>
      </c>
      <c r="M11">
        <f t="shared" si="4"/>
        <v>1134.8063005433007</v>
      </c>
      <c r="N11" s="5">
        <f t="shared" si="5"/>
        <v>2.1832648356054531</v>
      </c>
      <c r="O11" s="5">
        <v>1.9392502427003211</v>
      </c>
      <c r="P11" s="5">
        <v>1.2409532009960207</v>
      </c>
      <c r="Q11" s="5">
        <v>1.5715570161840391</v>
      </c>
    </row>
    <row r="12" spans="1:17" x14ac:dyDescent="0.3">
      <c r="A12">
        <v>2019</v>
      </c>
      <c r="B12" s="22">
        <v>384.2</v>
      </c>
      <c r="C12" s="21">
        <v>906.36</v>
      </c>
      <c r="D12" s="22">
        <v>394</v>
      </c>
      <c r="E12" s="5">
        <f t="shared" si="0"/>
        <v>0.97512690355329945</v>
      </c>
      <c r="F12" s="5">
        <f t="shared" si="1"/>
        <v>2.3004060913705584</v>
      </c>
      <c r="G12" s="5">
        <f t="shared" si="2"/>
        <v>1.325279187817259</v>
      </c>
      <c r="H12" s="20">
        <v>2009</v>
      </c>
      <c r="I12" s="20">
        <v>218</v>
      </c>
      <c r="J12">
        <v>1.2487217655656626</v>
      </c>
      <c r="K12">
        <v>2019</v>
      </c>
      <c r="L12">
        <f t="shared" si="3"/>
        <v>479.75890233032754</v>
      </c>
      <c r="M12">
        <f t="shared" si="4"/>
        <v>1131.7914594380941</v>
      </c>
      <c r="N12" s="5">
        <f t="shared" si="5"/>
        <v>2.3590838105153571</v>
      </c>
      <c r="O12" s="5">
        <v>1.8735366999914551</v>
      </c>
      <c r="P12" s="5">
        <v>1.2242062097246631</v>
      </c>
      <c r="Q12" s="5">
        <v>1.5832751507457949</v>
      </c>
    </row>
    <row r="13" spans="1:17" x14ac:dyDescent="0.3">
      <c r="A13">
        <v>2021</v>
      </c>
      <c r="B13" s="22">
        <v>349.39</v>
      </c>
      <c r="C13" s="21">
        <v>859.23</v>
      </c>
      <c r="D13" s="22">
        <v>400</v>
      </c>
      <c r="E13" s="5">
        <f t="shared" si="0"/>
        <v>0.873475</v>
      </c>
      <c r="F13" s="5">
        <f t="shared" si="1"/>
        <v>2.148075</v>
      </c>
      <c r="G13" s="5">
        <f t="shared" si="2"/>
        <v>1.2746</v>
      </c>
      <c r="H13" s="20">
        <v>2010</v>
      </c>
      <c r="I13" s="20">
        <v>240</v>
      </c>
      <c r="J13">
        <v>1.2085023824036292</v>
      </c>
      <c r="K13">
        <v>2021</v>
      </c>
      <c r="L13">
        <f t="shared" si="3"/>
        <v>422.23864738800398</v>
      </c>
      <c r="M13">
        <f t="shared" si="4"/>
        <v>1038.3815020326704</v>
      </c>
      <c r="N13" s="5">
        <f t="shared" si="5"/>
        <v>2.4592289418701165</v>
      </c>
      <c r="O13" s="5">
        <v>2.0285568215016068</v>
      </c>
      <c r="P13" s="5">
        <v>1.2084241649753189</v>
      </c>
      <c r="Q13" s="5">
        <v>1.5707403134966409</v>
      </c>
    </row>
    <row r="14" spans="1:17" x14ac:dyDescent="0.3">
      <c r="A14">
        <v>2023</v>
      </c>
      <c r="B14" s="22">
        <v>386.76</v>
      </c>
      <c r="C14" s="21">
        <v>864.37</v>
      </c>
      <c r="D14" s="22">
        <v>450</v>
      </c>
      <c r="E14" s="5">
        <f t="shared" si="0"/>
        <v>0.8594666666666666</v>
      </c>
      <c r="F14" s="5">
        <f t="shared" si="1"/>
        <v>1.9208222222222222</v>
      </c>
      <c r="G14" s="5">
        <f t="shared" si="2"/>
        <v>1.0613555555555556</v>
      </c>
      <c r="H14" s="20">
        <v>2011</v>
      </c>
      <c r="I14" s="20">
        <v>264</v>
      </c>
      <c r="J14">
        <v>1.1464846452129049</v>
      </c>
      <c r="K14">
        <v>2023</v>
      </c>
      <c r="L14">
        <f t="shared" si="3"/>
        <v>443.41440138254308</v>
      </c>
      <c r="M14">
        <f t="shared" si="4"/>
        <v>990.98693278267865</v>
      </c>
      <c r="N14" s="5">
        <f t="shared" si="5"/>
        <v>2.2349001965042921</v>
      </c>
      <c r="O14" s="5">
        <v>1.9829907619230567</v>
      </c>
      <c r="P14" s="5">
        <v>1.1772562090595564</v>
      </c>
      <c r="Q14" s="5">
        <v>1.5978422378706636</v>
      </c>
    </row>
    <row r="15" spans="1:17" x14ac:dyDescent="0.3">
      <c r="H15" s="20">
        <v>2012</v>
      </c>
      <c r="I15" s="20">
        <v>292</v>
      </c>
      <c r="J15">
        <v>1.100654391242585</v>
      </c>
    </row>
    <row r="16" spans="1:17" x14ac:dyDescent="0.3">
      <c r="H16" s="20">
        <v>2013</v>
      </c>
      <c r="I16" s="20">
        <v>318</v>
      </c>
      <c r="J16">
        <v>1.0717144360813022</v>
      </c>
    </row>
    <row r="17" spans="1:14" x14ac:dyDescent="0.3">
      <c r="A17" t="s">
        <v>1</v>
      </c>
      <c r="B17" t="s">
        <v>45</v>
      </c>
      <c r="C17" t="s">
        <v>46</v>
      </c>
      <c r="D17" t="s">
        <v>28</v>
      </c>
      <c r="E17" t="s">
        <v>48</v>
      </c>
      <c r="F17" t="s">
        <v>46</v>
      </c>
      <c r="G17" t="s">
        <v>50</v>
      </c>
      <c r="H17" s="20">
        <v>2014</v>
      </c>
      <c r="I17" s="20">
        <v>340</v>
      </c>
      <c r="J17">
        <v>1.0338012513334938</v>
      </c>
      <c r="K17" t="s">
        <v>104</v>
      </c>
      <c r="L17" t="s">
        <v>48</v>
      </c>
      <c r="M17" t="s">
        <v>46</v>
      </c>
      <c r="N17" t="s">
        <v>45</v>
      </c>
    </row>
    <row r="18" spans="1:14" x14ac:dyDescent="0.3">
      <c r="A18">
        <v>2001</v>
      </c>
      <c r="B18" s="22">
        <v>231.8</v>
      </c>
      <c r="C18" s="21">
        <v>181</v>
      </c>
      <c r="D18" s="22">
        <v>85.65</v>
      </c>
      <c r="E18" s="5">
        <f>B18/D18</f>
        <v>2.7063631056625801</v>
      </c>
      <c r="F18" s="19">
        <f>C18/D18</f>
        <v>2.1132516053706945</v>
      </c>
      <c r="G18" s="5">
        <f>E18-F18</f>
        <v>0.59311150029188564</v>
      </c>
      <c r="H18" s="20">
        <v>2015</v>
      </c>
      <c r="I18" s="20">
        <v>354</v>
      </c>
      <c r="J18">
        <v>1</v>
      </c>
      <c r="K18">
        <v>2001</v>
      </c>
      <c r="L18">
        <f>B18*J3</f>
        <v>521.50227065198123</v>
      </c>
      <c r="M18">
        <f>C18*J3</f>
        <v>407.21273075068416</v>
      </c>
      <c r="N18">
        <f>L18/M18</f>
        <v>1.2806629834254146</v>
      </c>
    </row>
    <row r="19" spans="1:14" x14ac:dyDescent="0.3">
      <c r="A19">
        <v>2003</v>
      </c>
      <c r="B19" s="22">
        <v>319.39999999999998</v>
      </c>
      <c r="C19" s="21">
        <v>200.4</v>
      </c>
      <c r="D19" s="22">
        <v>129.91</v>
      </c>
      <c r="E19" s="5">
        <f t="shared" ref="E19:E29" si="6">B19/D19</f>
        <v>2.4586252020629664</v>
      </c>
      <c r="F19" s="19">
        <f t="shared" ref="F19:F29" si="7">C19/D19</f>
        <v>1.5426064198291125</v>
      </c>
      <c r="G19" s="5">
        <f t="shared" ref="G19:G29" si="8">E19-F19</f>
        <v>0.91601878223385391</v>
      </c>
      <c r="H19" s="20">
        <v>2016</v>
      </c>
      <c r="I19" s="20">
        <v>366</v>
      </c>
      <c r="J19">
        <v>0.9889260902229503</v>
      </c>
      <c r="K19">
        <v>2003</v>
      </c>
      <c r="L19">
        <f t="shared" ref="L19:L29" si="9">B19*J4</f>
        <v>586.8928693578606</v>
      </c>
      <c r="M19">
        <f t="shared" ref="M19:M29" si="10">C19*J4</f>
        <v>368.23209461275917</v>
      </c>
      <c r="N19">
        <f t="shared" ref="N19:N29" si="11">L19/M19</f>
        <v>1.5938123752495008</v>
      </c>
    </row>
    <row r="20" spans="1:14" x14ac:dyDescent="0.3">
      <c r="A20">
        <v>2005</v>
      </c>
      <c r="B20" s="22">
        <v>429.16</v>
      </c>
      <c r="C20" s="21">
        <v>262.48</v>
      </c>
      <c r="D20" s="22">
        <v>150</v>
      </c>
      <c r="E20" s="5">
        <f t="shared" si="6"/>
        <v>2.8610666666666669</v>
      </c>
      <c r="F20" s="19">
        <f t="shared" si="7"/>
        <v>1.7498666666666667</v>
      </c>
      <c r="G20" s="5">
        <f t="shared" si="8"/>
        <v>1.1112000000000002</v>
      </c>
      <c r="H20" s="20">
        <v>2017</v>
      </c>
      <c r="I20" s="20">
        <v>375</v>
      </c>
      <c r="J20">
        <v>0.99087514701856894</v>
      </c>
      <c r="K20">
        <v>2005</v>
      </c>
      <c r="L20">
        <f t="shared" si="9"/>
        <v>721.10995431034189</v>
      </c>
      <c r="M20">
        <f t="shared" si="10"/>
        <v>441.04049959776899</v>
      </c>
      <c r="N20">
        <f t="shared" si="11"/>
        <v>1.6350198110332217</v>
      </c>
    </row>
    <row r="21" spans="1:14" x14ac:dyDescent="0.3">
      <c r="A21">
        <v>2007</v>
      </c>
      <c r="B21" s="22">
        <v>645.35</v>
      </c>
      <c r="C21" s="21">
        <v>327.98</v>
      </c>
      <c r="D21" s="22">
        <v>170</v>
      </c>
      <c r="E21" s="5">
        <f t="shared" si="6"/>
        <v>3.7961764705882355</v>
      </c>
      <c r="F21" s="19">
        <f t="shared" si="7"/>
        <v>1.9292941176470588</v>
      </c>
      <c r="G21" s="5">
        <f t="shared" si="8"/>
        <v>1.8668823529411767</v>
      </c>
      <c r="H21" s="20">
        <v>2018</v>
      </c>
      <c r="I21" s="20">
        <v>386</v>
      </c>
      <c r="J21">
        <v>0.98824473247529165</v>
      </c>
      <c r="K21">
        <v>2007</v>
      </c>
      <c r="L21">
        <f t="shared" si="9"/>
        <v>1022.3168276783433</v>
      </c>
      <c r="M21">
        <f t="shared" si="10"/>
        <v>519.56221142317042</v>
      </c>
      <c r="N21">
        <f t="shared" si="11"/>
        <v>1.9676504664918593</v>
      </c>
    </row>
    <row r="22" spans="1:14" x14ac:dyDescent="0.3">
      <c r="A22">
        <v>2009</v>
      </c>
      <c r="B22" s="22">
        <v>715.9</v>
      </c>
      <c r="C22" s="21">
        <v>350.06</v>
      </c>
      <c r="D22" s="22">
        <v>218</v>
      </c>
      <c r="E22" s="5">
        <f t="shared" si="6"/>
        <v>3.2839449541284402</v>
      </c>
      <c r="F22" s="19">
        <f t="shared" si="7"/>
        <v>1.6057798165137616</v>
      </c>
      <c r="G22" s="5">
        <f t="shared" si="8"/>
        <v>1.6781651376146787</v>
      </c>
      <c r="H22" s="20">
        <v>2019</v>
      </c>
      <c r="I22" s="20">
        <v>394</v>
      </c>
      <c r="J22">
        <v>0.98889080629321024</v>
      </c>
      <c r="K22">
        <v>2009</v>
      </c>
      <c r="L22">
        <f t="shared" si="9"/>
        <v>1112.4337889757983</v>
      </c>
      <c r="M22">
        <f t="shared" si="10"/>
        <v>543.95665898710433</v>
      </c>
      <c r="N22">
        <f t="shared" si="11"/>
        <v>2.0450779866308628</v>
      </c>
    </row>
    <row r="23" spans="1:14" x14ac:dyDescent="0.3">
      <c r="A23">
        <v>2011</v>
      </c>
      <c r="B23" s="22">
        <v>828.68</v>
      </c>
      <c r="C23" s="21">
        <v>409.7</v>
      </c>
      <c r="D23" s="22">
        <v>264</v>
      </c>
      <c r="E23" s="5">
        <f t="shared" si="6"/>
        <v>3.1389393939393937</v>
      </c>
      <c r="F23" s="19">
        <f t="shared" si="7"/>
        <v>1.5518939393939393</v>
      </c>
      <c r="G23" s="5">
        <f t="shared" si="8"/>
        <v>1.5870454545454544</v>
      </c>
      <c r="H23" s="20">
        <v>2020</v>
      </c>
      <c r="I23" s="20">
        <v>400</v>
      </c>
      <c r="J23">
        <v>0.99820394114674738</v>
      </c>
      <c r="K23">
        <v>2011</v>
      </c>
      <c r="L23">
        <f t="shared" si="9"/>
        <v>1248.549834020653</v>
      </c>
      <c r="M23">
        <f t="shared" si="10"/>
        <v>617.28395399703334</v>
      </c>
      <c r="N23">
        <f t="shared" si="11"/>
        <v>2.0226507200390529</v>
      </c>
    </row>
    <row r="24" spans="1:14" x14ac:dyDescent="0.3">
      <c r="A24">
        <v>2013</v>
      </c>
      <c r="B24" s="22">
        <v>923.27</v>
      </c>
      <c r="C24" s="21">
        <v>515.52</v>
      </c>
      <c r="D24" s="22">
        <v>318</v>
      </c>
      <c r="E24" s="5">
        <f t="shared" si="6"/>
        <v>2.9033647798742139</v>
      </c>
      <c r="F24" s="19">
        <f t="shared" si="7"/>
        <v>1.621132075471698</v>
      </c>
      <c r="G24" s="5">
        <f t="shared" si="8"/>
        <v>1.2822327044025159</v>
      </c>
      <c r="H24" s="20">
        <v>2021</v>
      </c>
      <c r="I24" s="20">
        <v>400</v>
      </c>
      <c r="J24">
        <v>0.97920080200063364</v>
      </c>
      <c r="K24">
        <v>2013</v>
      </c>
      <c r="L24">
        <f t="shared" si="9"/>
        <v>1352.2642411061859</v>
      </c>
      <c r="M24">
        <f t="shared" si="10"/>
        <v>755.05460111891523</v>
      </c>
      <c r="N24">
        <f t="shared" si="11"/>
        <v>1.7909489447548108</v>
      </c>
    </row>
    <row r="25" spans="1:14" x14ac:dyDescent="0.3">
      <c r="A25">
        <v>2015</v>
      </c>
      <c r="B25" s="22">
        <v>1020.8</v>
      </c>
      <c r="C25" s="21">
        <v>554.1</v>
      </c>
      <c r="D25" s="22">
        <v>354</v>
      </c>
      <c r="E25" s="5">
        <f t="shared" si="6"/>
        <v>2.8836158192090395</v>
      </c>
      <c r="F25" s="19">
        <f t="shared" si="7"/>
        <v>1.5652542372881357</v>
      </c>
      <c r="G25" s="5">
        <f t="shared" si="8"/>
        <v>1.3183615819209038</v>
      </c>
      <c r="H25" s="20">
        <v>2022</v>
      </c>
      <c r="I25" s="20">
        <v>425</v>
      </c>
      <c r="J25">
        <v>0.94392043385874747</v>
      </c>
      <c r="K25">
        <v>2015</v>
      </c>
      <c r="L25">
        <f t="shared" si="9"/>
        <v>1447.0726573397815</v>
      </c>
      <c r="M25">
        <f t="shared" si="10"/>
        <v>785.4848740516976</v>
      </c>
      <c r="N25">
        <f t="shared" si="11"/>
        <v>1.8422667388558023</v>
      </c>
    </row>
    <row r="26" spans="1:14" x14ac:dyDescent="0.3">
      <c r="A26">
        <v>2017</v>
      </c>
      <c r="B26" s="22">
        <v>1038.74</v>
      </c>
      <c r="C26" s="21">
        <v>535.64</v>
      </c>
      <c r="D26" s="22">
        <v>375</v>
      </c>
      <c r="E26" s="5">
        <f t="shared" si="6"/>
        <v>2.7699733333333332</v>
      </c>
      <c r="F26" s="19">
        <f t="shared" si="7"/>
        <v>1.4283733333333333</v>
      </c>
      <c r="G26" s="5">
        <f t="shared" si="8"/>
        <v>1.3415999999999999</v>
      </c>
      <c r="H26" s="20">
        <v>2023</v>
      </c>
      <c r="I26" s="20">
        <v>450</v>
      </c>
      <c r="J26">
        <v>0.93134961623365875</v>
      </c>
      <c r="K26">
        <v>2017</v>
      </c>
      <c r="L26">
        <f t="shared" si="9"/>
        <v>1353.0247547966026</v>
      </c>
      <c r="M26">
        <f t="shared" si="10"/>
        <v>697.70508467879563</v>
      </c>
      <c r="N26">
        <f t="shared" si="11"/>
        <v>1.9392502427003211</v>
      </c>
    </row>
    <row r="27" spans="1:14" x14ac:dyDescent="0.3">
      <c r="A27">
        <v>2019</v>
      </c>
      <c r="B27" s="22">
        <v>1096.3</v>
      </c>
      <c r="C27" s="21">
        <v>585.15</v>
      </c>
      <c r="D27" s="22">
        <v>394</v>
      </c>
      <c r="E27" s="5">
        <f t="shared" si="6"/>
        <v>2.7824873096446701</v>
      </c>
      <c r="F27" s="19">
        <f t="shared" si="7"/>
        <v>1.4851522842639593</v>
      </c>
      <c r="G27" s="5">
        <f t="shared" si="8"/>
        <v>1.2973350253807108</v>
      </c>
      <c r="H27" s="20">
        <v>2024</v>
      </c>
      <c r="I27" s="20">
        <v>460</v>
      </c>
      <c r="J27">
        <v>0.92644713954905422</v>
      </c>
      <c r="K27">
        <v>2019</v>
      </c>
      <c r="L27">
        <f t="shared" si="9"/>
        <v>1368.9736715896358</v>
      </c>
      <c r="M27">
        <f t="shared" si="10"/>
        <v>730.68954112074744</v>
      </c>
      <c r="N27">
        <f t="shared" si="11"/>
        <v>1.8735366999914551</v>
      </c>
    </row>
    <row r="28" spans="1:14" x14ac:dyDescent="0.3">
      <c r="A28">
        <v>2021</v>
      </c>
      <c r="B28" s="22">
        <v>1111</v>
      </c>
      <c r="C28" s="21">
        <v>547.67999999999995</v>
      </c>
      <c r="D28" s="22">
        <v>400</v>
      </c>
      <c r="E28" s="5">
        <f t="shared" si="6"/>
        <v>2.7774999999999999</v>
      </c>
      <c r="F28" s="19">
        <f t="shared" si="7"/>
        <v>1.3692</v>
      </c>
      <c r="G28" s="5">
        <f t="shared" si="8"/>
        <v>1.4082999999999999</v>
      </c>
      <c r="H28" s="20">
        <v>2025</v>
      </c>
      <c r="I28" s="20">
        <v>470</v>
      </c>
      <c r="J28">
        <v>0.90624350519988395</v>
      </c>
      <c r="K28">
        <v>2021</v>
      </c>
      <c r="L28">
        <f t="shared" si="9"/>
        <v>1342.6461468504319</v>
      </c>
      <c r="M28">
        <f t="shared" si="10"/>
        <v>661.87258479481955</v>
      </c>
      <c r="N28">
        <f t="shared" si="11"/>
        <v>2.0285568215016068</v>
      </c>
    </row>
    <row r="29" spans="1:14" x14ac:dyDescent="0.3">
      <c r="A29">
        <v>2023</v>
      </c>
      <c r="B29" s="22">
        <v>1135.52</v>
      </c>
      <c r="C29" s="21">
        <v>572.63</v>
      </c>
      <c r="D29" s="22">
        <v>450</v>
      </c>
      <c r="E29" s="5">
        <f t="shared" si="6"/>
        <v>2.5233777777777777</v>
      </c>
      <c r="F29" s="19">
        <f t="shared" si="7"/>
        <v>1.2725111111111111</v>
      </c>
      <c r="G29" s="5">
        <f t="shared" si="8"/>
        <v>1.2508666666666666</v>
      </c>
      <c r="K29">
        <v>2023</v>
      </c>
      <c r="L29">
        <f t="shared" si="9"/>
        <v>1301.8562443321578</v>
      </c>
      <c r="M29">
        <f t="shared" si="10"/>
        <v>656.51150238826574</v>
      </c>
      <c r="N29">
        <f t="shared" si="11"/>
        <v>1.9829907619230567</v>
      </c>
    </row>
    <row r="32" spans="1:14" x14ac:dyDescent="0.3">
      <c r="A32" t="s">
        <v>1</v>
      </c>
      <c r="B32" t="s">
        <v>36</v>
      </c>
      <c r="C32" t="s">
        <v>37</v>
      </c>
      <c r="D32" t="s">
        <v>47</v>
      </c>
      <c r="E32" t="s">
        <v>28</v>
      </c>
      <c r="F32" t="s">
        <v>36</v>
      </c>
      <c r="G32" t="s">
        <v>37</v>
      </c>
      <c r="H32" t="s">
        <v>47</v>
      </c>
      <c r="I32" t="s">
        <v>49</v>
      </c>
      <c r="K32" t="s">
        <v>1</v>
      </c>
      <c r="L32" t="s">
        <v>36</v>
      </c>
      <c r="M32" t="s">
        <v>37</v>
      </c>
      <c r="N32" t="s">
        <v>42</v>
      </c>
    </row>
    <row r="33" spans="1:14" x14ac:dyDescent="0.3">
      <c r="A33">
        <v>2001</v>
      </c>
      <c r="B33">
        <v>185.4</v>
      </c>
      <c r="C33">
        <v>124.8</v>
      </c>
      <c r="D33">
        <v>163.80000000000001</v>
      </c>
      <c r="E33" s="22">
        <v>85.65</v>
      </c>
      <c r="F33" s="5">
        <f>B33/E33</f>
        <v>2.1646234676007006</v>
      </c>
      <c r="G33" s="5">
        <f>C33/E33</f>
        <v>1.4570928196147108</v>
      </c>
      <c r="H33" s="5">
        <f>D33/E33</f>
        <v>1.9124343257443082</v>
      </c>
      <c r="I33" s="5">
        <f>F33-G33</f>
        <v>0.70753064798598975</v>
      </c>
      <c r="K33">
        <v>2001</v>
      </c>
      <c r="L33">
        <f>B33*J3</f>
        <v>417.11182475788314</v>
      </c>
      <c r="M33">
        <f>C33*J3</f>
        <v>280.77430274964303</v>
      </c>
      <c r="N33">
        <f>L33/M33</f>
        <v>1.4855769230769231</v>
      </c>
    </row>
    <row r="34" spans="1:14" x14ac:dyDescent="0.3">
      <c r="A34">
        <v>2003</v>
      </c>
      <c r="B34">
        <v>200.04</v>
      </c>
      <c r="C34">
        <v>143.69999999999999</v>
      </c>
      <c r="D34">
        <v>179.78</v>
      </c>
      <c r="E34" s="22">
        <v>129.91</v>
      </c>
      <c r="F34" s="5">
        <f t="shared" ref="F34:F44" si="12">B34/E34</f>
        <v>1.5398352705719345</v>
      </c>
      <c r="G34" s="5">
        <f t="shared" ref="G34:G44" si="13">C34/E34</f>
        <v>1.1061504118235701</v>
      </c>
      <c r="H34" s="5">
        <f t="shared" ref="H34:H44" si="14">D34/E34</f>
        <v>1.3838811484874145</v>
      </c>
      <c r="I34" s="5">
        <f t="shared" ref="I34:I44" si="15">F34-G34</f>
        <v>0.43368485874836438</v>
      </c>
      <c r="K34">
        <v>2003</v>
      </c>
      <c r="L34">
        <f t="shared" ref="L34:L44" si="16">B34*J4</f>
        <v>367.57059983201771</v>
      </c>
      <c r="M34">
        <f t="shared" ref="M34:M44" si="17">C34*J4</f>
        <v>264.04666664597551</v>
      </c>
      <c r="N34">
        <f t="shared" ref="N34:N44" si="18">L34/M34</f>
        <v>1.3920668058455117</v>
      </c>
    </row>
    <row r="35" spans="1:14" x14ac:dyDescent="0.3">
      <c r="A35">
        <v>2005</v>
      </c>
      <c r="B35">
        <v>267.8</v>
      </c>
      <c r="C35">
        <v>202.95</v>
      </c>
      <c r="D35">
        <v>244.5</v>
      </c>
      <c r="E35" s="22">
        <v>150</v>
      </c>
      <c r="F35" s="5">
        <f t="shared" si="12"/>
        <v>1.7853333333333334</v>
      </c>
      <c r="G35" s="5">
        <f t="shared" si="13"/>
        <v>1.353</v>
      </c>
      <c r="H35" s="5">
        <f t="shared" si="14"/>
        <v>1.63</v>
      </c>
      <c r="I35" s="5">
        <f t="shared" si="15"/>
        <v>0.43233333333333346</v>
      </c>
      <c r="K35">
        <v>2005</v>
      </c>
      <c r="L35">
        <f t="shared" si="16"/>
        <v>449.979601464045</v>
      </c>
      <c r="M35">
        <f t="shared" si="17"/>
        <v>341.01329393998475</v>
      </c>
      <c r="N35">
        <f t="shared" si="18"/>
        <v>1.319536831731954</v>
      </c>
    </row>
    <row r="36" spans="1:14" x14ac:dyDescent="0.3">
      <c r="A36">
        <v>2007</v>
      </c>
      <c r="B36">
        <v>353.2</v>
      </c>
      <c r="C36">
        <v>257.02</v>
      </c>
      <c r="D36">
        <v>318.8</v>
      </c>
      <c r="E36" s="22">
        <v>170</v>
      </c>
      <c r="F36" s="5">
        <f t="shared" si="12"/>
        <v>2.0776470588235294</v>
      </c>
      <c r="G36" s="5">
        <f t="shared" si="13"/>
        <v>1.5118823529411765</v>
      </c>
      <c r="H36" s="5">
        <f t="shared" si="14"/>
        <v>1.875294117647059</v>
      </c>
      <c r="I36" s="5">
        <f t="shared" si="15"/>
        <v>0.56576470588235295</v>
      </c>
      <c r="K36">
        <v>2007</v>
      </c>
      <c r="L36">
        <f t="shared" si="16"/>
        <v>559.51391266133237</v>
      </c>
      <c r="M36">
        <f t="shared" si="17"/>
        <v>407.1525080187306</v>
      </c>
      <c r="N36">
        <f t="shared" si="18"/>
        <v>1.3742121235701501</v>
      </c>
    </row>
    <row r="37" spans="1:14" x14ac:dyDescent="0.3">
      <c r="A37">
        <v>2009</v>
      </c>
      <c r="B37">
        <v>351.6</v>
      </c>
      <c r="C37">
        <v>273.64999999999998</v>
      </c>
      <c r="D37">
        <v>323.29000000000002</v>
      </c>
      <c r="E37" s="22">
        <v>218</v>
      </c>
      <c r="F37" s="5">
        <f t="shared" si="12"/>
        <v>1.6128440366972479</v>
      </c>
      <c r="G37" s="5">
        <f t="shared" si="13"/>
        <v>1.255275229357798</v>
      </c>
      <c r="H37" s="5">
        <f t="shared" si="14"/>
        <v>1.4829816513761469</v>
      </c>
      <c r="I37" s="5">
        <f t="shared" si="15"/>
        <v>0.35756880733944985</v>
      </c>
      <c r="K37">
        <v>2009</v>
      </c>
      <c r="L37">
        <f t="shared" si="16"/>
        <v>546.34965805823549</v>
      </c>
      <c r="M37">
        <f t="shared" si="17"/>
        <v>425.2235037759844</v>
      </c>
      <c r="N37">
        <f t="shared" si="18"/>
        <v>1.2848529143065963</v>
      </c>
    </row>
    <row r="38" spans="1:14" x14ac:dyDescent="0.3">
      <c r="A38">
        <v>2011</v>
      </c>
      <c r="B38">
        <v>413.5</v>
      </c>
      <c r="C38">
        <v>332.04</v>
      </c>
      <c r="D38">
        <v>384.37</v>
      </c>
      <c r="E38" s="22">
        <v>264</v>
      </c>
      <c r="F38" s="5">
        <f t="shared" si="12"/>
        <v>1.5662878787878789</v>
      </c>
      <c r="G38" s="5">
        <f t="shared" si="13"/>
        <v>1.2577272727272728</v>
      </c>
      <c r="H38" s="5">
        <f t="shared" si="14"/>
        <v>1.4559469696969698</v>
      </c>
      <c r="I38" s="5">
        <f t="shared" si="15"/>
        <v>0.30856060606060609</v>
      </c>
      <c r="K38">
        <v>2011</v>
      </c>
      <c r="L38">
        <f t="shared" si="16"/>
        <v>623.00931163723033</v>
      </c>
      <c r="M38">
        <f t="shared" si="17"/>
        <v>500.27572390816442</v>
      </c>
      <c r="N38">
        <f t="shared" si="18"/>
        <v>1.2453318877243704</v>
      </c>
    </row>
    <row r="39" spans="1:14" x14ac:dyDescent="0.3">
      <c r="A39">
        <v>2013</v>
      </c>
      <c r="B39">
        <v>507.32</v>
      </c>
      <c r="C39">
        <v>401.98</v>
      </c>
      <c r="D39">
        <v>469.36</v>
      </c>
      <c r="E39" s="22">
        <v>318</v>
      </c>
      <c r="F39" s="5">
        <f t="shared" si="12"/>
        <v>1.5953459119496856</v>
      </c>
      <c r="G39" s="5">
        <f t="shared" si="13"/>
        <v>1.2640880503144654</v>
      </c>
      <c r="H39" s="5">
        <f t="shared" si="14"/>
        <v>1.4759748427672956</v>
      </c>
      <c r="I39" s="5">
        <f t="shared" si="15"/>
        <v>0.3312578616352202</v>
      </c>
      <c r="K39">
        <v>2013</v>
      </c>
      <c r="L39">
        <f t="shared" si="16"/>
        <v>743.04449922340177</v>
      </c>
      <c r="M39">
        <f t="shared" si="17"/>
        <v>588.75862926323248</v>
      </c>
      <c r="N39">
        <f t="shared" si="18"/>
        <v>1.2620528384496739</v>
      </c>
    </row>
    <row r="40" spans="1:14" x14ac:dyDescent="0.3">
      <c r="A40">
        <v>2015</v>
      </c>
      <c r="B40">
        <v>557.4</v>
      </c>
      <c r="C40">
        <v>436.78</v>
      </c>
      <c r="D40">
        <v>512.78</v>
      </c>
      <c r="E40" s="22">
        <v>354</v>
      </c>
      <c r="F40" s="5">
        <f t="shared" si="12"/>
        <v>1.5745762711864406</v>
      </c>
      <c r="G40" s="5">
        <f t="shared" si="13"/>
        <v>1.2338418079096045</v>
      </c>
      <c r="H40" s="5">
        <f t="shared" si="14"/>
        <v>1.4485310734463277</v>
      </c>
      <c r="I40" s="5">
        <f t="shared" si="15"/>
        <v>0.3407344632768361</v>
      </c>
      <c r="K40">
        <v>2015</v>
      </c>
      <c r="L40">
        <f t="shared" si="16"/>
        <v>790.16291065947701</v>
      </c>
      <c r="M40">
        <f t="shared" si="17"/>
        <v>619.17358471088335</v>
      </c>
      <c r="N40">
        <f t="shared" si="18"/>
        <v>1.2761573332112275</v>
      </c>
    </row>
    <row r="41" spans="1:14" x14ac:dyDescent="0.3">
      <c r="A41">
        <v>2017</v>
      </c>
      <c r="B41">
        <v>533.25</v>
      </c>
      <c r="C41">
        <v>429.71</v>
      </c>
      <c r="D41">
        <v>494.07</v>
      </c>
      <c r="E41" s="22">
        <v>375</v>
      </c>
      <c r="F41" s="5">
        <f t="shared" si="12"/>
        <v>1.4219999999999999</v>
      </c>
      <c r="G41" s="5">
        <f t="shared" si="13"/>
        <v>1.1458933333333332</v>
      </c>
      <c r="H41" s="5">
        <f t="shared" si="14"/>
        <v>1.31752</v>
      </c>
      <c r="I41" s="5">
        <f t="shared" si="15"/>
        <v>0.27610666666666672</v>
      </c>
      <c r="K41">
        <v>2017</v>
      </c>
      <c r="L41">
        <f t="shared" si="16"/>
        <v>694.5919580407882</v>
      </c>
      <c r="M41">
        <f t="shared" si="17"/>
        <v>559.72453875238079</v>
      </c>
      <c r="N41">
        <f t="shared" si="18"/>
        <v>1.2409532009960207</v>
      </c>
    </row>
    <row r="42" spans="1:14" x14ac:dyDescent="0.3">
      <c r="A42">
        <v>2019</v>
      </c>
      <c r="B42">
        <v>522.42999999999995</v>
      </c>
      <c r="C42">
        <v>426.75</v>
      </c>
      <c r="D42">
        <v>485.24</v>
      </c>
      <c r="E42" s="22">
        <v>394</v>
      </c>
      <c r="F42" s="5">
        <f t="shared" si="12"/>
        <v>1.3259644670050761</v>
      </c>
      <c r="G42" s="5">
        <f t="shared" si="13"/>
        <v>1.0831218274111676</v>
      </c>
      <c r="H42" s="5">
        <f t="shared" si="14"/>
        <v>1.2315736040609138</v>
      </c>
      <c r="I42" s="5">
        <f t="shared" si="15"/>
        <v>0.2428426395939085</v>
      </c>
      <c r="K42">
        <v>2019</v>
      </c>
      <c r="L42">
        <f t="shared" si="16"/>
        <v>652.36971198446906</v>
      </c>
      <c r="M42">
        <f t="shared" si="17"/>
        <v>532.89201345514653</v>
      </c>
      <c r="N42">
        <f t="shared" si="18"/>
        <v>1.2242062097246631</v>
      </c>
    </row>
    <row r="43" spans="1:14" x14ac:dyDescent="0.3">
      <c r="A43">
        <v>2021</v>
      </c>
      <c r="B43">
        <v>482.27</v>
      </c>
      <c r="C43">
        <v>399.09</v>
      </c>
      <c r="D43">
        <v>450.42</v>
      </c>
      <c r="E43" s="22">
        <v>400</v>
      </c>
      <c r="F43" s="5">
        <f t="shared" si="12"/>
        <v>1.2056750000000001</v>
      </c>
      <c r="G43" s="5">
        <f t="shared" si="13"/>
        <v>0.99772499999999997</v>
      </c>
      <c r="H43" s="5">
        <f t="shared" si="14"/>
        <v>1.12605</v>
      </c>
      <c r="I43" s="5">
        <f t="shared" si="15"/>
        <v>0.20795000000000008</v>
      </c>
      <c r="K43">
        <v>2021</v>
      </c>
      <c r="L43">
        <f t="shared" si="16"/>
        <v>582.82444396179824</v>
      </c>
      <c r="M43">
        <f t="shared" si="17"/>
        <v>482.30121579346434</v>
      </c>
      <c r="N43">
        <f t="shared" si="18"/>
        <v>1.2084241649753189</v>
      </c>
    </row>
    <row r="44" spans="1:14" x14ac:dyDescent="0.3">
      <c r="A44">
        <v>2023</v>
      </c>
      <c r="B44">
        <v>508.61</v>
      </c>
      <c r="C44">
        <v>432.03</v>
      </c>
      <c r="D44">
        <v>478.55</v>
      </c>
      <c r="E44" s="22">
        <v>450</v>
      </c>
      <c r="F44" s="5">
        <f t="shared" si="12"/>
        <v>1.1302444444444444</v>
      </c>
      <c r="G44" s="5">
        <f t="shared" si="13"/>
        <v>0.96006666666666662</v>
      </c>
      <c r="H44" s="5">
        <f t="shared" si="14"/>
        <v>1.0634444444444444</v>
      </c>
      <c r="I44" s="5">
        <f t="shared" si="15"/>
        <v>0.17017777777777776</v>
      </c>
      <c r="K44">
        <v>2023</v>
      </c>
      <c r="L44">
        <f t="shared" si="16"/>
        <v>583.11355540173565</v>
      </c>
      <c r="M44">
        <f t="shared" si="17"/>
        <v>495.31576127133127</v>
      </c>
      <c r="N44">
        <f t="shared" si="18"/>
        <v>1.1772562090595564</v>
      </c>
    </row>
    <row r="47" spans="1:14" x14ac:dyDescent="0.3">
      <c r="A47" t="s">
        <v>1</v>
      </c>
      <c r="B47" t="s">
        <v>15</v>
      </c>
      <c r="C47" t="s">
        <v>16</v>
      </c>
      <c r="D47" t="s">
        <v>28</v>
      </c>
      <c r="E47" t="s">
        <v>15</v>
      </c>
      <c r="F47" t="s">
        <v>16</v>
      </c>
      <c r="G47" t="s">
        <v>49</v>
      </c>
      <c r="K47" t="s">
        <v>1</v>
      </c>
      <c r="L47" t="s">
        <v>102</v>
      </c>
      <c r="M47" t="s">
        <v>16</v>
      </c>
      <c r="N47" t="s">
        <v>39</v>
      </c>
    </row>
    <row r="48" spans="1:14" x14ac:dyDescent="0.3">
      <c r="A48">
        <v>2001</v>
      </c>
      <c r="B48">
        <v>103.3</v>
      </c>
      <c r="C48">
        <v>168.1</v>
      </c>
      <c r="D48" s="22">
        <v>85.65</v>
      </c>
      <c r="E48" s="5">
        <f>B48/D48</f>
        <v>1.2060712200817278</v>
      </c>
      <c r="F48" s="5">
        <f>C48/D48</f>
        <v>1.9626386456509046</v>
      </c>
      <c r="G48" s="5">
        <f>F48-E48</f>
        <v>0.75656742556917678</v>
      </c>
      <c r="K48">
        <v>2001</v>
      </c>
      <c r="L48">
        <f>B48*J3</f>
        <v>232.40372975992085</v>
      </c>
      <c r="M48">
        <f>C48*J3</f>
        <v>378.19038695685089</v>
      </c>
      <c r="N48">
        <f>M48/L48</f>
        <v>1.6272991287512102</v>
      </c>
    </row>
    <row r="49" spans="1:14" x14ac:dyDescent="0.3">
      <c r="A49">
        <v>2003</v>
      </c>
      <c r="B49">
        <v>115.19</v>
      </c>
      <c r="C49">
        <v>184.98</v>
      </c>
      <c r="D49" s="22">
        <v>129.91</v>
      </c>
      <c r="E49" s="5">
        <f t="shared" ref="E49:E59" si="19">B49/D49</f>
        <v>0.88669078592871986</v>
      </c>
      <c r="F49" s="5">
        <f t="shared" ref="F49:F59" si="20">C49/D49</f>
        <v>1.4239088599799861</v>
      </c>
      <c r="G49" s="5">
        <f t="shared" ref="G49:G59" si="21">F49-E49</f>
        <v>0.5372180740512662</v>
      </c>
      <c r="K49">
        <v>2003</v>
      </c>
      <c r="L49">
        <f t="shared" ref="L49:L59" si="22">B49*J4</f>
        <v>211.65995498225413</v>
      </c>
      <c r="M49">
        <f t="shared" ref="M49:M59" si="23">C49*J4</f>
        <v>339.89806817099895</v>
      </c>
      <c r="N49">
        <f t="shared" ref="N49:N59" si="24">M49/L49</f>
        <v>1.605868564979599</v>
      </c>
    </row>
    <row r="50" spans="1:14" x14ac:dyDescent="0.3">
      <c r="A50">
        <v>2005</v>
      </c>
      <c r="B50">
        <v>141.33000000000001</v>
      </c>
      <c r="C50">
        <v>251.44</v>
      </c>
      <c r="D50" s="22">
        <v>150</v>
      </c>
      <c r="E50" s="5">
        <f t="shared" si="19"/>
        <v>0.94220000000000004</v>
      </c>
      <c r="F50" s="5">
        <f t="shared" si="20"/>
        <v>1.6762666666666666</v>
      </c>
      <c r="G50" s="5">
        <f t="shared" si="21"/>
        <v>0.73406666666666653</v>
      </c>
      <c r="K50">
        <v>2005</v>
      </c>
      <c r="L50">
        <f t="shared" si="22"/>
        <v>237.47429826330651</v>
      </c>
      <c r="M50">
        <f t="shared" si="23"/>
        <v>422.49018294294046</v>
      </c>
      <c r="N50">
        <f t="shared" si="24"/>
        <v>1.7790985636453687</v>
      </c>
    </row>
    <row r="51" spans="1:14" x14ac:dyDescent="0.3">
      <c r="A51">
        <v>2007</v>
      </c>
      <c r="B51">
        <v>172.13</v>
      </c>
      <c r="C51">
        <v>328.45</v>
      </c>
      <c r="D51" s="22">
        <v>170</v>
      </c>
      <c r="E51" s="5">
        <f t="shared" si="19"/>
        <v>1.0125294117647059</v>
      </c>
      <c r="F51" s="5">
        <f t="shared" si="20"/>
        <v>1.9320588235294116</v>
      </c>
      <c r="G51" s="5">
        <f t="shared" si="21"/>
        <v>0.91952941176470571</v>
      </c>
      <c r="K51">
        <v>2007</v>
      </c>
      <c r="L51">
        <f t="shared" si="22"/>
        <v>272.67590539749472</v>
      </c>
      <c r="M51">
        <f t="shared" si="23"/>
        <v>520.30675145417501</v>
      </c>
      <c r="N51">
        <f t="shared" si="24"/>
        <v>1.908150816243537</v>
      </c>
    </row>
    <row r="52" spans="1:14" x14ac:dyDescent="0.3">
      <c r="A52">
        <v>2009</v>
      </c>
      <c r="B52">
        <v>196.29</v>
      </c>
      <c r="C52">
        <v>331.28</v>
      </c>
      <c r="D52" s="22">
        <v>218</v>
      </c>
      <c r="E52" s="5">
        <f t="shared" si="19"/>
        <v>0.90041284403669719</v>
      </c>
      <c r="F52" s="5">
        <f t="shared" si="20"/>
        <v>1.5196330275229357</v>
      </c>
      <c r="G52" s="5">
        <f t="shared" si="21"/>
        <v>0.61922018348623853</v>
      </c>
      <c r="K52">
        <v>2009</v>
      </c>
      <c r="L52">
        <f t="shared" si="22"/>
        <v>305.01414783916675</v>
      </c>
      <c r="M52">
        <f t="shared" si="23"/>
        <v>514.77450148331116</v>
      </c>
      <c r="N52">
        <f t="shared" si="24"/>
        <v>1.6877069641856435</v>
      </c>
    </row>
    <row r="53" spans="1:14" x14ac:dyDescent="0.3">
      <c r="A53">
        <v>2011</v>
      </c>
      <c r="B53">
        <v>235.3</v>
      </c>
      <c r="C53">
        <v>393.67</v>
      </c>
      <c r="D53" s="22">
        <v>264</v>
      </c>
      <c r="E53" s="5">
        <f t="shared" si="19"/>
        <v>0.89128787878787885</v>
      </c>
      <c r="F53" s="5">
        <f t="shared" si="20"/>
        <v>1.4911742424242425</v>
      </c>
      <c r="G53" s="5">
        <f t="shared" si="21"/>
        <v>0.59988636363636361</v>
      </c>
      <c r="K53">
        <v>2011</v>
      </c>
      <c r="L53">
        <f t="shared" si="22"/>
        <v>354.52017177325348</v>
      </c>
      <c r="M53">
        <f t="shared" si="23"/>
        <v>593.13198479378104</v>
      </c>
      <c r="N53">
        <f t="shared" si="24"/>
        <v>1.6730556736081597</v>
      </c>
    </row>
    <row r="54" spans="1:14" x14ac:dyDescent="0.3">
      <c r="A54">
        <v>2013</v>
      </c>
      <c r="B54">
        <v>289.89999999999998</v>
      </c>
      <c r="C54">
        <v>480.04</v>
      </c>
      <c r="D54" s="22">
        <v>318</v>
      </c>
      <c r="E54" s="5">
        <f t="shared" si="19"/>
        <v>0.91163522012578613</v>
      </c>
      <c r="F54" s="5">
        <f t="shared" si="20"/>
        <v>1.509559748427673</v>
      </c>
      <c r="G54" s="5">
        <f t="shared" si="21"/>
        <v>0.59792452830188692</v>
      </c>
      <c r="K54">
        <v>2013</v>
      </c>
      <c r="L54">
        <f t="shared" si="22"/>
        <v>424.60104140357993</v>
      </c>
      <c r="M54">
        <f t="shared" si="23"/>
        <v>703.08894072223018</v>
      </c>
      <c r="N54">
        <f t="shared" si="24"/>
        <v>1.6558813383925493</v>
      </c>
    </row>
    <row r="55" spans="1:14" x14ac:dyDescent="0.3">
      <c r="A55">
        <v>2015</v>
      </c>
      <c r="B55">
        <v>309.10000000000002</v>
      </c>
      <c r="C55">
        <v>527.03</v>
      </c>
      <c r="D55" s="22">
        <v>354</v>
      </c>
      <c r="E55" s="5">
        <f t="shared" si="19"/>
        <v>0.87316384180790962</v>
      </c>
      <c r="F55" s="5">
        <f t="shared" si="20"/>
        <v>1.4887853107344633</v>
      </c>
      <c r="G55" s="5">
        <f t="shared" si="21"/>
        <v>0.61562146892655367</v>
      </c>
      <c r="K55">
        <v>2015</v>
      </c>
      <c r="L55">
        <f t="shared" si="22"/>
        <v>438.17609559534333</v>
      </c>
      <c r="M55">
        <f t="shared" si="23"/>
        <v>747.11079799939751</v>
      </c>
      <c r="N55">
        <f t="shared" si="24"/>
        <v>1.7050469103849886</v>
      </c>
    </row>
    <row r="56" spans="1:14" x14ac:dyDescent="0.3">
      <c r="A56">
        <v>2017</v>
      </c>
      <c r="B56">
        <v>322.54000000000002</v>
      </c>
      <c r="C56">
        <v>506.89</v>
      </c>
      <c r="D56" s="22">
        <v>375</v>
      </c>
      <c r="E56" s="5">
        <f t="shared" si="19"/>
        <v>0.86010666666666669</v>
      </c>
      <c r="F56" s="5">
        <f t="shared" si="20"/>
        <v>1.3517066666666666</v>
      </c>
      <c r="G56" s="5">
        <f t="shared" si="21"/>
        <v>0.49159999999999993</v>
      </c>
      <c r="K56">
        <v>2017</v>
      </c>
      <c r="L56">
        <f t="shared" si="22"/>
        <v>420.12881415185342</v>
      </c>
      <c r="M56">
        <f t="shared" si="23"/>
        <v>660.25638558142543</v>
      </c>
      <c r="N56">
        <f t="shared" si="24"/>
        <v>1.5715570161840391</v>
      </c>
    </row>
    <row r="57" spans="1:14" x14ac:dyDescent="0.3">
      <c r="A57">
        <v>2019</v>
      </c>
      <c r="B57">
        <v>315.10000000000002</v>
      </c>
      <c r="C57">
        <v>498.89</v>
      </c>
      <c r="D57" s="22">
        <v>394</v>
      </c>
      <c r="E57" s="5">
        <f t="shared" si="19"/>
        <v>0.7997461928934011</v>
      </c>
      <c r="F57" s="5">
        <f t="shared" si="20"/>
        <v>1.2662182741116752</v>
      </c>
      <c r="G57" s="5">
        <f t="shared" si="21"/>
        <v>0.4664720812182741</v>
      </c>
      <c r="K57">
        <v>2019</v>
      </c>
      <c r="L57">
        <f t="shared" si="22"/>
        <v>393.47222832974029</v>
      </c>
      <c r="M57">
        <f t="shared" si="23"/>
        <v>622.97480162305339</v>
      </c>
      <c r="N57">
        <f t="shared" si="24"/>
        <v>1.5832751507457949</v>
      </c>
    </row>
    <row r="58" spans="1:14" x14ac:dyDescent="0.3">
      <c r="A58">
        <v>2021</v>
      </c>
      <c r="B58">
        <v>294.74</v>
      </c>
      <c r="C58">
        <v>462.96</v>
      </c>
      <c r="D58" s="22">
        <v>400</v>
      </c>
      <c r="E58" s="5">
        <f t="shared" si="19"/>
        <v>0.73685</v>
      </c>
      <c r="F58" s="5">
        <f t="shared" si="20"/>
        <v>1.1574</v>
      </c>
      <c r="G58" s="5">
        <f t="shared" si="21"/>
        <v>0.42054999999999998</v>
      </c>
      <c r="K58">
        <v>2021</v>
      </c>
      <c r="L58">
        <f t="shared" si="22"/>
        <v>356.19399218964566</v>
      </c>
      <c r="M58">
        <f t="shared" si="23"/>
        <v>559.48826295758408</v>
      </c>
      <c r="N58">
        <f t="shared" si="24"/>
        <v>1.5707403134966409</v>
      </c>
    </row>
    <row r="59" spans="1:14" x14ac:dyDescent="0.3">
      <c r="A59">
        <v>2023</v>
      </c>
      <c r="B59">
        <v>309.58</v>
      </c>
      <c r="C59">
        <v>494.66</v>
      </c>
      <c r="D59" s="22">
        <v>450</v>
      </c>
      <c r="E59" s="5">
        <f t="shared" si="19"/>
        <v>0.68795555555555554</v>
      </c>
      <c r="F59" s="5">
        <f t="shared" si="20"/>
        <v>1.0992444444444445</v>
      </c>
      <c r="G59" s="5">
        <f t="shared" si="21"/>
        <v>0.41128888888888893</v>
      </c>
      <c r="K59">
        <v>2023</v>
      </c>
      <c r="L59">
        <f t="shared" si="22"/>
        <v>354.92871646501112</v>
      </c>
      <c r="M59">
        <f t="shared" si="23"/>
        <v>567.12009460101558</v>
      </c>
      <c r="N59">
        <f t="shared" si="24"/>
        <v>1.5978422378706636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0D2A-DF9D-43B1-8449-A5652FB70D61}">
  <dimension ref="A1:S73"/>
  <sheetViews>
    <sheetView topLeftCell="A74" zoomScale="70" zoomScaleNormal="70" workbookViewId="0">
      <selection activeCell="U66" sqref="U66"/>
    </sheetView>
  </sheetViews>
  <sheetFormatPr baseColWidth="10" defaultRowHeight="14.4" x14ac:dyDescent="0.3"/>
  <cols>
    <col min="1" max="1" width="14.6640625" customWidth="1"/>
  </cols>
  <sheetData>
    <row r="1" spans="1:19" ht="15" thickBot="1" x14ac:dyDescent="0.35"/>
    <row r="2" spans="1:19" x14ac:dyDescent="0.3">
      <c r="A2" s="32" t="s">
        <v>105</v>
      </c>
      <c r="B2" s="33"/>
      <c r="C2" s="33"/>
      <c r="D2" s="33"/>
      <c r="E2" s="34"/>
      <c r="G2" s="113" t="s">
        <v>14</v>
      </c>
      <c r="H2" s="114"/>
      <c r="I2" s="114"/>
      <c r="J2" s="114"/>
      <c r="K2" s="114"/>
      <c r="L2" s="115"/>
      <c r="N2" s="113" t="s">
        <v>25</v>
      </c>
      <c r="O2" s="114"/>
      <c r="P2" s="114"/>
      <c r="Q2" s="114"/>
      <c r="R2" s="114"/>
      <c r="S2" s="115"/>
    </row>
    <row r="3" spans="1:19" x14ac:dyDescent="0.3">
      <c r="A3" s="35" t="s">
        <v>51</v>
      </c>
      <c r="E3" s="36"/>
    </row>
    <row r="4" spans="1:19" ht="42" customHeight="1" x14ac:dyDescent="0.3">
      <c r="A4" s="112" t="s">
        <v>52</v>
      </c>
      <c r="E4" s="36"/>
      <c r="G4" s="116" t="s">
        <v>158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</row>
    <row r="5" spans="1:19" x14ac:dyDescent="0.3">
      <c r="A5" s="35" t="s">
        <v>53</v>
      </c>
      <c r="B5" t="s">
        <v>54</v>
      </c>
      <c r="C5" t="s">
        <v>55</v>
      </c>
      <c r="D5" t="s">
        <v>56</v>
      </c>
      <c r="E5" s="36" t="s">
        <v>57</v>
      </c>
    </row>
    <row r="6" spans="1:19" x14ac:dyDescent="0.3">
      <c r="A6" s="35" t="s">
        <v>58</v>
      </c>
      <c r="B6" s="37">
        <v>8.020825951709476E-2</v>
      </c>
      <c r="C6" s="37">
        <v>3.8663167265037046E-2</v>
      </c>
      <c r="D6" s="37">
        <v>-2.7828706588549523E-2</v>
      </c>
      <c r="E6" s="38">
        <v>2.7390661514859138E-2</v>
      </c>
      <c r="G6" s="113" t="s">
        <v>154</v>
      </c>
      <c r="H6" s="114"/>
      <c r="I6" s="114"/>
      <c r="J6" s="114"/>
      <c r="K6" s="114"/>
      <c r="L6" s="115"/>
      <c r="N6" s="113" t="s">
        <v>154</v>
      </c>
      <c r="O6" s="114"/>
      <c r="P6" s="114"/>
      <c r="Q6" s="114"/>
      <c r="R6" s="114"/>
      <c r="S6" s="115"/>
    </row>
    <row r="7" spans="1:19" x14ac:dyDescent="0.3">
      <c r="A7" s="35">
        <v>2</v>
      </c>
      <c r="B7" s="37">
        <v>8.7842715119439863E-2</v>
      </c>
      <c r="C7" s="37">
        <v>4.2202542543562149E-2</v>
      </c>
      <c r="D7" s="37">
        <v>-4.6726824263000011E-2</v>
      </c>
      <c r="E7" s="38">
        <v>2.5114706223809957E-2</v>
      </c>
      <c r="N7" s="117" t="s">
        <v>159</v>
      </c>
      <c r="O7" s="118"/>
      <c r="P7" s="118"/>
      <c r="Q7" s="118"/>
      <c r="R7" s="118"/>
      <c r="S7" s="119"/>
    </row>
    <row r="8" spans="1:19" x14ac:dyDescent="0.3">
      <c r="A8" s="35">
        <v>3</v>
      </c>
      <c r="B8" s="37">
        <v>8.020825951709476E-2</v>
      </c>
      <c r="C8" s="37">
        <v>3.7858308216315306E-2</v>
      </c>
      <c r="D8" s="37">
        <v>-2.1700694797227915E-2</v>
      </c>
      <c r="E8" s="38">
        <v>2.8717761302563094E-2</v>
      </c>
      <c r="N8" s="120"/>
      <c r="O8" s="121"/>
      <c r="P8" s="121"/>
      <c r="Q8" s="121"/>
      <c r="R8" s="121"/>
      <c r="S8" s="122"/>
    </row>
    <row r="9" spans="1:19" x14ac:dyDescent="0.3">
      <c r="A9" s="35">
        <v>4</v>
      </c>
      <c r="B9" s="37">
        <v>5.2126891689199484E-2</v>
      </c>
      <c r="C9" s="37">
        <v>4.2202542543562149E-2</v>
      </c>
      <c r="D9" s="37">
        <v>-2.7828706588549523E-2</v>
      </c>
      <c r="E9" s="38">
        <v>2.4381156426730222E-2</v>
      </c>
      <c r="N9" s="120"/>
      <c r="O9" s="121"/>
      <c r="P9" s="121"/>
      <c r="Q9" s="121"/>
      <c r="R9" s="121"/>
      <c r="S9" s="122"/>
    </row>
    <row r="10" spans="1:19" x14ac:dyDescent="0.3">
      <c r="A10" s="35">
        <v>5</v>
      </c>
      <c r="B10" s="37">
        <v>5.2126891689199706E-2</v>
      </c>
      <c r="C10" s="37">
        <v>3.8663167265037046E-2</v>
      </c>
      <c r="D10" s="37">
        <v>-1.0606526186463516E-2</v>
      </c>
      <c r="E10" s="38">
        <v>2.7390661514859138E-2</v>
      </c>
      <c r="N10" s="120"/>
      <c r="O10" s="121"/>
      <c r="P10" s="121"/>
      <c r="Q10" s="121"/>
      <c r="R10" s="121"/>
      <c r="S10" s="122"/>
    </row>
    <row r="11" spans="1:19" x14ac:dyDescent="0.3">
      <c r="A11" s="35">
        <v>6</v>
      </c>
      <c r="B11" s="37">
        <v>6.6444834481357518E-2</v>
      </c>
      <c r="C11" s="37">
        <v>2.8023592057676572E-2</v>
      </c>
      <c r="D11" s="37">
        <v>7.7518853061881998E-3</v>
      </c>
      <c r="E11" s="38">
        <v>2.9298801103121441E-2</v>
      </c>
      <c r="N11" s="120"/>
      <c r="O11" s="121"/>
      <c r="P11" s="121"/>
      <c r="Q11" s="121"/>
      <c r="R11" s="121"/>
      <c r="S11" s="122"/>
    </row>
    <row r="12" spans="1:19" x14ac:dyDescent="0.3">
      <c r="A12" s="35">
        <v>7</v>
      </c>
      <c r="B12" s="37">
        <v>7.0431613658199943E-2</v>
      </c>
      <c r="C12" s="37">
        <v>2.6715391524379184E-2</v>
      </c>
      <c r="D12" s="37">
        <v>-1.6878782405976844E-3</v>
      </c>
      <c r="E12" s="38">
        <v>2.6643724018104997E-2</v>
      </c>
      <c r="N12" s="120"/>
      <c r="O12" s="121"/>
      <c r="P12" s="121"/>
      <c r="Q12" s="121"/>
      <c r="R12" s="121"/>
      <c r="S12" s="122"/>
    </row>
    <row r="13" spans="1:19" x14ac:dyDescent="0.3">
      <c r="A13" s="35">
        <v>8</v>
      </c>
      <c r="B13" s="37">
        <v>6.1736353786000064E-2</v>
      </c>
      <c r="C13" s="37">
        <v>2.6144770076159896E-2</v>
      </c>
      <c r="D13" s="37">
        <v>-1.5200633378328332E-2</v>
      </c>
      <c r="E13" s="38">
        <v>2.1009683926040301E-2</v>
      </c>
      <c r="N13" s="120"/>
      <c r="O13" s="121"/>
      <c r="P13" s="121"/>
      <c r="Q13" s="121"/>
      <c r="R13" s="121"/>
      <c r="S13" s="122"/>
    </row>
    <row r="14" spans="1:19" x14ac:dyDescent="0.3">
      <c r="A14" s="35">
        <v>9</v>
      </c>
      <c r="B14" s="37">
        <v>5.5616581028947065E-2</v>
      </c>
      <c r="C14" s="37">
        <v>2.7383674012033454E-2</v>
      </c>
      <c r="D14" s="37">
        <v>-1.6889130631871141E-2</v>
      </c>
      <c r="E14" s="38">
        <v>2.0131098901177147E-2</v>
      </c>
      <c r="N14" s="120"/>
      <c r="O14" s="121"/>
      <c r="P14" s="121"/>
      <c r="Q14" s="121"/>
      <c r="R14" s="121"/>
      <c r="S14" s="122"/>
    </row>
    <row r="15" spans="1:19" x14ac:dyDescent="0.3">
      <c r="A15" s="35" t="s">
        <v>59</v>
      </c>
      <c r="B15" s="37">
        <v>3.4135186303498211E-2</v>
      </c>
      <c r="C15" s="37">
        <v>1.990590202674225E-2</v>
      </c>
      <c r="D15" s="37">
        <v>-2.1918215519025064E-2</v>
      </c>
      <c r="E15" s="38">
        <v>1.086838858522321E-2</v>
      </c>
      <c r="N15" s="120"/>
      <c r="O15" s="121"/>
      <c r="P15" s="121"/>
      <c r="Q15" s="121"/>
      <c r="R15" s="121"/>
      <c r="S15" s="122"/>
    </row>
    <row r="16" spans="1:19" ht="15" thickBot="1" x14ac:dyDescent="0.35">
      <c r="A16" s="39" t="s">
        <v>60</v>
      </c>
      <c r="B16" s="40">
        <v>6.9240257762811286E-2</v>
      </c>
      <c r="C16" s="40">
        <v>4.0006003518669786E-2</v>
      </c>
      <c r="D16" s="40">
        <v>-6.4228265536523388E-3</v>
      </c>
      <c r="E16" s="41">
        <v>3.2322753622836098E-2</v>
      </c>
      <c r="N16" s="120"/>
      <c r="O16" s="121"/>
      <c r="P16" s="121"/>
      <c r="Q16" s="121"/>
      <c r="R16" s="121"/>
      <c r="S16" s="122"/>
    </row>
    <row r="17" spans="7:19" x14ac:dyDescent="0.3">
      <c r="N17" s="120"/>
      <c r="O17" s="121"/>
      <c r="P17" s="121"/>
      <c r="Q17" s="121"/>
      <c r="R17" s="121"/>
      <c r="S17" s="122"/>
    </row>
    <row r="18" spans="7:19" x14ac:dyDescent="0.3">
      <c r="N18" s="120"/>
      <c r="O18" s="121"/>
      <c r="P18" s="121"/>
      <c r="Q18" s="121"/>
      <c r="R18" s="121"/>
      <c r="S18" s="122"/>
    </row>
    <row r="19" spans="7:19" x14ac:dyDescent="0.3">
      <c r="N19" s="120"/>
      <c r="O19" s="121"/>
      <c r="P19" s="121"/>
      <c r="Q19" s="121"/>
      <c r="R19" s="121"/>
      <c r="S19" s="122"/>
    </row>
    <row r="20" spans="7:19" x14ac:dyDescent="0.3">
      <c r="N20" s="120"/>
      <c r="O20" s="121"/>
      <c r="P20" s="121"/>
      <c r="Q20" s="121"/>
      <c r="R20" s="121"/>
      <c r="S20" s="122"/>
    </row>
    <row r="21" spans="7:19" x14ac:dyDescent="0.3">
      <c r="N21" s="120"/>
      <c r="O21" s="121"/>
      <c r="P21" s="121"/>
      <c r="Q21" s="121"/>
      <c r="R21" s="121"/>
      <c r="S21" s="122"/>
    </row>
    <row r="22" spans="7:19" x14ac:dyDescent="0.3">
      <c r="N22" s="120"/>
      <c r="O22" s="121"/>
      <c r="P22" s="121"/>
      <c r="Q22" s="121"/>
      <c r="R22" s="121"/>
      <c r="S22" s="122"/>
    </row>
    <row r="23" spans="7:19" x14ac:dyDescent="0.3">
      <c r="N23" s="120"/>
      <c r="O23" s="121"/>
      <c r="P23" s="121"/>
      <c r="Q23" s="121"/>
      <c r="R23" s="121"/>
      <c r="S23" s="122"/>
    </row>
    <row r="24" spans="7:19" x14ac:dyDescent="0.3">
      <c r="N24" s="123"/>
      <c r="O24" s="124"/>
      <c r="P24" s="124"/>
      <c r="Q24" s="124"/>
      <c r="R24" s="124"/>
      <c r="S24" s="125"/>
    </row>
    <row r="27" spans="7:19" x14ac:dyDescent="0.3">
      <c r="G27" s="113" t="s">
        <v>155</v>
      </c>
      <c r="H27" s="114"/>
      <c r="I27" s="114"/>
      <c r="J27" s="114"/>
      <c r="K27" s="114"/>
      <c r="L27" s="115"/>
      <c r="N27" s="113" t="s">
        <v>155</v>
      </c>
      <c r="O27" s="114"/>
      <c r="P27" s="114"/>
      <c r="Q27" s="114"/>
      <c r="R27" s="114"/>
      <c r="S27" s="115"/>
    </row>
    <row r="50" spans="7:19" x14ac:dyDescent="0.3">
      <c r="G50" s="113" t="s">
        <v>156</v>
      </c>
      <c r="H50" s="114"/>
      <c r="I50" s="114"/>
      <c r="J50" s="114"/>
      <c r="K50" s="114"/>
      <c r="L50" s="115"/>
      <c r="N50" s="113" t="s">
        <v>156</v>
      </c>
      <c r="O50" s="114"/>
      <c r="P50" s="114"/>
      <c r="Q50" s="114"/>
      <c r="R50" s="114"/>
      <c r="S50" s="115"/>
    </row>
    <row r="73" spans="7:19" x14ac:dyDescent="0.3">
      <c r="G73" s="113" t="s">
        <v>157</v>
      </c>
      <c r="H73" s="114"/>
      <c r="I73" s="114"/>
      <c r="J73" s="114"/>
      <c r="K73" s="114"/>
      <c r="L73" s="115"/>
      <c r="N73" s="113" t="s">
        <v>157</v>
      </c>
      <c r="O73" s="114"/>
      <c r="P73" s="114"/>
      <c r="Q73" s="114"/>
      <c r="R73" s="114"/>
      <c r="S73" s="115"/>
    </row>
  </sheetData>
  <mergeCells count="12">
    <mergeCell ref="G2:L2"/>
    <mergeCell ref="G27:L27"/>
    <mergeCell ref="G50:L50"/>
    <mergeCell ref="G73:L73"/>
    <mergeCell ref="N2:S2"/>
    <mergeCell ref="N6:S6"/>
    <mergeCell ref="N7:S24"/>
    <mergeCell ref="N27:S27"/>
    <mergeCell ref="N50:S50"/>
    <mergeCell ref="N73:S73"/>
    <mergeCell ref="G4:S4"/>
    <mergeCell ref="G6:L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D8A6-5354-4D8E-AD6D-C33AC7C628DD}">
  <dimension ref="A1:M6"/>
  <sheetViews>
    <sheetView topLeftCell="A4" workbookViewId="0">
      <selection activeCell="B12" sqref="B12"/>
    </sheetView>
  </sheetViews>
  <sheetFormatPr baseColWidth="10" defaultRowHeight="14.4" x14ac:dyDescent="0.3"/>
  <sheetData>
    <row r="1" spans="1:13" x14ac:dyDescent="0.3">
      <c r="A1" t="s">
        <v>61</v>
      </c>
    </row>
    <row r="2" spans="1:13" x14ac:dyDescent="0.3">
      <c r="A2" t="s">
        <v>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7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8</v>
      </c>
    </row>
    <row r="3" spans="1:13" x14ac:dyDescent="0.3">
      <c r="A3">
        <v>2005</v>
      </c>
      <c r="B3" s="42">
        <v>0.63400000333786011</v>
      </c>
      <c r="C3" s="43"/>
      <c r="D3" s="42">
        <v>0.55199998617172241</v>
      </c>
      <c r="E3" s="43"/>
      <c r="F3" s="42">
        <v>0.55000001192092896</v>
      </c>
      <c r="G3" s="42">
        <v>0.5220000147819519</v>
      </c>
      <c r="H3" s="42">
        <v>0.52399998903274536</v>
      </c>
      <c r="I3" s="42">
        <v>0.52499997615814209</v>
      </c>
      <c r="J3" s="43"/>
      <c r="K3" s="43"/>
      <c r="L3" s="42">
        <v>0.47600001096725458</v>
      </c>
      <c r="M3" s="42">
        <v>0.52300000190734863</v>
      </c>
    </row>
    <row r="4" spans="1:13" x14ac:dyDescent="0.3">
      <c r="A4">
        <v>2011</v>
      </c>
      <c r="B4" s="42">
        <v>0.47099998593330378</v>
      </c>
      <c r="C4" s="43"/>
      <c r="D4" s="42">
        <v>0.52600002288818359</v>
      </c>
      <c r="E4" s="42">
        <v>0.47600001096725458</v>
      </c>
      <c r="F4" s="42">
        <v>0.54500001668930054</v>
      </c>
      <c r="G4" s="42">
        <v>0.45800000429153442</v>
      </c>
      <c r="H4" s="42">
        <v>0.5350000262260437</v>
      </c>
      <c r="I4" s="42">
        <v>0.46299999952316279</v>
      </c>
      <c r="J4" s="42">
        <v>0.41299998760223389</v>
      </c>
      <c r="K4" s="43"/>
      <c r="L4" s="42">
        <v>0.5</v>
      </c>
      <c r="M4" s="42">
        <v>0.48399999737739557</v>
      </c>
    </row>
    <row r="5" spans="1:13" x14ac:dyDescent="0.3">
      <c r="A5">
        <v>2015</v>
      </c>
      <c r="B5">
        <v>0.45</v>
      </c>
      <c r="C5" s="43"/>
      <c r="D5" s="42">
        <v>0.51099997758865356</v>
      </c>
      <c r="E5" s="42">
        <v>0.46200001239776611</v>
      </c>
      <c r="F5" s="42">
        <v>0.52399998903274536</v>
      </c>
      <c r="G5" s="42">
        <v>0.46200001239776611</v>
      </c>
      <c r="H5" s="42">
        <v>0.49399998784065252</v>
      </c>
      <c r="I5" s="42">
        <v>0.44900000095367432</v>
      </c>
      <c r="J5" s="42">
        <v>0.3919999897480011</v>
      </c>
      <c r="K5" s="43"/>
      <c r="L5" s="42">
        <v>0.49599999189376831</v>
      </c>
      <c r="M5" s="42">
        <v>0.46599999070167542</v>
      </c>
    </row>
    <row r="6" spans="1:13" x14ac:dyDescent="0.3">
      <c r="A6">
        <v>2023</v>
      </c>
      <c r="B6" s="42">
        <v>0.43599998950958252</v>
      </c>
      <c r="C6" s="43"/>
      <c r="D6" s="42">
        <v>0.51499998569488525</v>
      </c>
      <c r="E6" s="43"/>
      <c r="F6" s="42">
        <v>0.56000000238418579</v>
      </c>
      <c r="G6" s="42">
        <v>0.44200000166893011</v>
      </c>
      <c r="H6" s="42">
        <v>0.46000000834465032</v>
      </c>
      <c r="I6" s="42">
        <v>0.41699999570846558</v>
      </c>
      <c r="J6" s="42">
        <v>0.40400001406669622</v>
      </c>
      <c r="K6" s="43"/>
      <c r="L6" s="42">
        <v>0.47999998927116388</v>
      </c>
      <c r="M6" s="42">
        <v>0.45199999213218689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BEB0-3511-4354-A7DB-A637AEF254EF}">
  <dimension ref="A1:T46"/>
  <sheetViews>
    <sheetView topLeftCell="H14" workbookViewId="0">
      <selection activeCell="T21" sqref="T21:T46"/>
    </sheetView>
  </sheetViews>
  <sheetFormatPr baseColWidth="10" defaultColWidth="11.44140625" defaultRowHeight="14.4" x14ac:dyDescent="0.3"/>
  <cols>
    <col min="1" max="2" width="0" hidden="1" customWidth="1"/>
    <col min="3" max="3" width="11.88671875" hidden="1" customWidth="1"/>
    <col min="4" max="6" width="4.88671875" hidden="1" customWidth="1"/>
    <col min="7" max="7" width="0" hidden="1" customWidth="1"/>
    <col min="9" max="9" width="17.21875" bestFit="1" customWidth="1"/>
    <col min="11" max="14" width="4.88671875" bestFit="1" customWidth="1"/>
    <col min="17" max="17" width="15.109375" customWidth="1"/>
    <col min="18" max="18" width="16.44140625" customWidth="1"/>
    <col min="19" max="19" width="11.44140625" style="63"/>
    <col min="20" max="20" width="11.44140625" style="64"/>
  </cols>
  <sheetData>
    <row r="1" spans="1:20" s="45" customFormat="1" ht="48" customHeight="1" x14ac:dyDescent="0.3">
      <c r="A1" s="44" t="s">
        <v>1</v>
      </c>
      <c r="B1" s="44" t="s">
        <v>72</v>
      </c>
      <c r="C1" s="44" t="s">
        <v>73</v>
      </c>
      <c r="H1" s="44" t="s">
        <v>1</v>
      </c>
      <c r="I1" s="44" t="s">
        <v>74</v>
      </c>
      <c r="J1" s="44" t="s">
        <v>73</v>
      </c>
      <c r="K1" s="126" t="s">
        <v>75</v>
      </c>
      <c r="L1" s="126"/>
      <c r="M1" s="126"/>
      <c r="N1" s="126"/>
      <c r="O1" s="46" t="s">
        <v>76</v>
      </c>
      <c r="P1" s="46" t="s">
        <v>77</v>
      </c>
      <c r="Q1" s="44" t="s">
        <v>78</v>
      </c>
      <c r="R1" s="44" t="s">
        <v>79</v>
      </c>
      <c r="S1" s="44" t="s">
        <v>80</v>
      </c>
      <c r="T1" s="47" t="s">
        <v>81</v>
      </c>
    </row>
    <row r="2" spans="1:20" x14ac:dyDescent="0.3">
      <c r="A2" s="48">
        <v>1981</v>
      </c>
      <c r="B2" s="49">
        <v>11706724</v>
      </c>
      <c r="C2" s="50"/>
      <c r="H2" s="48">
        <v>1981</v>
      </c>
      <c r="I2" s="51">
        <v>34873351861</v>
      </c>
      <c r="J2" s="50"/>
      <c r="O2" s="52"/>
      <c r="P2" s="52"/>
      <c r="Q2" s="52"/>
      <c r="R2" s="52"/>
      <c r="S2" s="50"/>
      <c r="T2" s="53"/>
    </row>
    <row r="3" spans="1:20" x14ac:dyDescent="0.3">
      <c r="A3" s="48">
        <v>1982</v>
      </c>
      <c r="B3" s="49">
        <v>11551194</v>
      </c>
      <c r="C3" s="54">
        <f>+(B3/B2)-1</f>
        <v>-1.3285527189331514E-2</v>
      </c>
      <c r="D3" s="37">
        <f t="shared" ref="D3:D18" si="0">+D4</f>
        <v>1.5712583981651651E-2</v>
      </c>
      <c r="H3" s="48">
        <v>1982</v>
      </c>
      <c r="I3" s="51">
        <v>35087769044</v>
      </c>
      <c r="J3" s="54">
        <f>+(I3/I2)-1</f>
        <v>6.1484535198863544E-3</v>
      </c>
      <c r="K3" s="37">
        <v>2.1999999999999999E-2</v>
      </c>
      <c r="O3" s="52"/>
      <c r="P3" s="52"/>
      <c r="Q3" s="52"/>
      <c r="R3" s="52"/>
      <c r="S3" s="50"/>
      <c r="T3" s="53"/>
    </row>
    <row r="4" spans="1:20" x14ac:dyDescent="0.3">
      <c r="A4" s="48">
        <v>1983</v>
      </c>
      <c r="B4" s="49">
        <v>11390291</v>
      </c>
      <c r="C4" s="54">
        <f t="shared" ref="C4:C31" si="1">+(B4/B3)-1</f>
        <v>-1.3929555680564309E-2</v>
      </c>
      <c r="D4" s="37">
        <f t="shared" si="0"/>
        <v>1.5712583981651651E-2</v>
      </c>
      <c r="H4" s="48">
        <v>1983</v>
      </c>
      <c r="I4" s="51">
        <v>34969569308</v>
      </c>
      <c r="J4" s="54">
        <f t="shared" ref="J4:J45" si="2">+(I4/I3)-1</f>
        <v>-3.3686877000295157E-3</v>
      </c>
      <c r="K4" s="37">
        <v>2.1999999999999999E-2</v>
      </c>
      <c r="O4" s="52"/>
      <c r="P4" s="52"/>
      <c r="Q4" s="52"/>
      <c r="R4" s="52"/>
      <c r="S4" s="50"/>
      <c r="T4" s="53"/>
    </row>
    <row r="5" spans="1:20" x14ac:dyDescent="0.3">
      <c r="A5" s="48">
        <v>1984</v>
      </c>
      <c r="B5" s="49">
        <v>11774662</v>
      </c>
      <c r="C5" s="54">
        <f t="shared" si="1"/>
        <v>3.3745494298609291E-2</v>
      </c>
      <c r="D5" s="37">
        <f t="shared" si="0"/>
        <v>1.5712583981651651E-2</v>
      </c>
      <c r="H5" s="48">
        <v>1984</v>
      </c>
      <c r="I5" s="51">
        <v>35887616063</v>
      </c>
      <c r="J5" s="54">
        <f t="shared" si="2"/>
        <v>2.625273268063899E-2</v>
      </c>
      <c r="K5" s="37">
        <v>2.1999999999999999E-2</v>
      </c>
      <c r="O5" s="52"/>
      <c r="P5" s="52"/>
      <c r="Q5" s="52"/>
      <c r="R5" s="52"/>
      <c r="S5" s="50"/>
      <c r="T5" s="53"/>
    </row>
    <row r="6" spans="1:20" x14ac:dyDescent="0.3">
      <c r="A6" s="48">
        <v>1985</v>
      </c>
      <c r="B6" s="49">
        <v>12121087</v>
      </c>
      <c r="C6" s="54">
        <f t="shared" si="1"/>
        <v>2.9421226698481906E-2</v>
      </c>
      <c r="D6" s="37">
        <f t="shared" si="0"/>
        <v>1.5712583981651651E-2</v>
      </c>
      <c r="H6" s="48">
        <v>1985</v>
      </c>
      <c r="I6" s="51">
        <v>37299794262</v>
      </c>
      <c r="J6" s="54">
        <f t="shared" si="2"/>
        <v>3.9350014125233423E-2</v>
      </c>
      <c r="K6" s="37">
        <v>2.1999999999999999E-2</v>
      </c>
      <c r="O6" s="52"/>
      <c r="P6" s="52"/>
      <c r="Q6" s="52"/>
      <c r="R6" s="52"/>
      <c r="S6" s="50"/>
      <c r="T6" s="53"/>
    </row>
    <row r="7" spans="1:20" x14ac:dyDescent="0.3">
      <c r="A7" s="48">
        <v>1986</v>
      </c>
      <c r="B7" s="49">
        <v>12548055</v>
      </c>
      <c r="C7" s="54">
        <f t="shared" si="1"/>
        <v>3.5225223612370682E-2</v>
      </c>
      <c r="D7" s="37">
        <f t="shared" si="0"/>
        <v>1.5712583981651651E-2</v>
      </c>
      <c r="H7" s="48">
        <v>1986</v>
      </c>
      <c r="I7" s="51">
        <v>38592151012</v>
      </c>
      <c r="J7" s="54">
        <f t="shared" si="2"/>
        <v>3.4647825157486656E-2</v>
      </c>
      <c r="K7" s="37">
        <v>2.1999999999999999E-2</v>
      </c>
      <c r="O7" s="52"/>
      <c r="P7" s="52"/>
      <c r="Q7" s="52"/>
      <c r="R7" s="52"/>
      <c r="S7" s="50"/>
      <c r="T7" s="53"/>
    </row>
    <row r="8" spans="1:20" x14ac:dyDescent="0.3">
      <c r="A8" s="48">
        <v>1987</v>
      </c>
      <c r="B8" s="49">
        <v>11761343</v>
      </c>
      <c r="C8" s="54">
        <f t="shared" si="1"/>
        <v>-6.2695931759942036E-2</v>
      </c>
      <c r="D8" s="37">
        <f t="shared" si="0"/>
        <v>1.5712583981651651E-2</v>
      </c>
      <c r="H8" s="48">
        <v>1987</v>
      </c>
      <c r="I8" s="51">
        <v>38492159247</v>
      </c>
      <c r="J8" s="54">
        <f t="shared" si="2"/>
        <v>-2.5909870887711461E-3</v>
      </c>
      <c r="K8" s="37">
        <v>2.1999999999999999E-2</v>
      </c>
      <c r="O8" s="52"/>
      <c r="P8" s="52"/>
      <c r="Q8" s="52"/>
      <c r="R8" s="52"/>
      <c r="S8" s="50"/>
      <c r="T8" s="53"/>
    </row>
    <row r="9" spans="1:20" x14ac:dyDescent="0.3">
      <c r="A9" s="48">
        <v>1988</v>
      </c>
      <c r="B9" s="49">
        <v>13043295</v>
      </c>
      <c r="C9" s="54">
        <f t="shared" si="1"/>
        <v>0.10899707626926625</v>
      </c>
      <c r="D9" s="37">
        <f t="shared" si="0"/>
        <v>1.5712583981651651E-2</v>
      </c>
      <c r="H9" s="48">
        <v>1988</v>
      </c>
      <c r="I9" s="51">
        <v>40759527297</v>
      </c>
      <c r="J9" s="54">
        <f t="shared" si="2"/>
        <v>5.8904672908852485E-2</v>
      </c>
      <c r="K9" s="37">
        <v>2.1999999999999999E-2</v>
      </c>
      <c r="O9" s="52"/>
      <c r="P9" s="52"/>
      <c r="Q9" s="52"/>
      <c r="R9" s="52"/>
      <c r="S9" s="50"/>
      <c r="T9" s="53"/>
    </row>
    <row r="10" spans="1:20" x14ac:dyDescent="0.3">
      <c r="A10" s="48">
        <v>1989</v>
      </c>
      <c r="B10" s="49">
        <v>13083072</v>
      </c>
      <c r="C10" s="54">
        <f t="shared" si="1"/>
        <v>3.0496128470605122E-3</v>
      </c>
      <c r="D10" s="37">
        <f t="shared" si="0"/>
        <v>1.5712583981651651E-2</v>
      </c>
      <c r="H10" s="48">
        <v>1989</v>
      </c>
      <c r="I10" s="51">
        <v>41169477633</v>
      </c>
      <c r="J10" s="54">
        <f t="shared" si="2"/>
        <v>1.0057779449031301E-2</v>
      </c>
      <c r="K10" s="37">
        <v>2.1999999999999999E-2</v>
      </c>
      <c r="O10" s="52"/>
      <c r="P10" s="52"/>
      <c r="Q10" s="52"/>
      <c r="R10" s="52"/>
      <c r="S10" s="50"/>
      <c r="T10" s="53"/>
    </row>
    <row r="11" spans="1:20" x14ac:dyDescent="0.3">
      <c r="A11" s="48">
        <v>1990</v>
      </c>
      <c r="B11" s="49">
        <v>13229206</v>
      </c>
      <c r="C11" s="54">
        <f t="shared" si="1"/>
        <v>1.1169700816444417E-2</v>
      </c>
      <c r="D11" s="37">
        <f t="shared" si="0"/>
        <v>1.5712583981651651E-2</v>
      </c>
      <c r="H11" s="48">
        <v>1990</v>
      </c>
      <c r="I11" s="51">
        <v>42684479026</v>
      </c>
      <c r="J11" s="54">
        <f t="shared" si="2"/>
        <v>3.679914053088762E-2</v>
      </c>
      <c r="K11" s="37">
        <v>2.1999999999999999E-2</v>
      </c>
      <c r="O11" s="52"/>
      <c r="P11" s="52"/>
      <c r="Q11" s="52"/>
      <c r="R11" s="52"/>
      <c r="S11" s="50"/>
      <c r="T11" s="53"/>
    </row>
    <row r="12" spans="1:20" x14ac:dyDescent="0.3">
      <c r="A12" s="48">
        <v>1991</v>
      </c>
      <c r="B12" s="49">
        <v>13800083</v>
      </c>
      <c r="C12" s="54">
        <f t="shared" si="1"/>
        <v>4.3152778783549062E-2</v>
      </c>
      <c r="D12" s="37">
        <f t="shared" si="0"/>
        <v>1.5712583981651651E-2</v>
      </c>
      <c r="H12" s="48">
        <v>1991</v>
      </c>
      <c r="I12" s="51">
        <v>44516216200</v>
      </c>
      <c r="J12" s="54">
        <f t="shared" si="2"/>
        <v>4.2913424640470543E-2</v>
      </c>
      <c r="K12" s="37">
        <v>2.1999999999999999E-2</v>
      </c>
      <c r="O12" s="55">
        <v>0.48699999999999999</v>
      </c>
      <c r="P12" s="52"/>
      <c r="Q12" s="52"/>
      <c r="R12" s="52"/>
      <c r="S12" s="50"/>
      <c r="T12" s="53"/>
    </row>
    <row r="13" spans="1:20" x14ac:dyDescent="0.3">
      <c r="A13" s="48">
        <v>1992</v>
      </c>
      <c r="B13" s="49">
        <v>14010595</v>
      </c>
      <c r="C13" s="54">
        <f t="shared" si="1"/>
        <v>1.525440100613884E-2</v>
      </c>
      <c r="D13" s="37">
        <f t="shared" si="0"/>
        <v>1.5712583981651651E-2</v>
      </c>
      <c r="H13" s="48">
        <v>1992</v>
      </c>
      <c r="I13" s="51">
        <v>45457427300</v>
      </c>
      <c r="J13" s="54">
        <f t="shared" si="2"/>
        <v>2.1143106497896857E-2</v>
      </c>
      <c r="K13" s="37">
        <v>2.1999999999999999E-2</v>
      </c>
      <c r="O13" s="52"/>
      <c r="P13" s="52"/>
      <c r="Q13" s="52"/>
      <c r="R13" s="52"/>
      <c r="S13" s="50"/>
      <c r="T13" s="53"/>
    </row>
    <row r="14" spans="1:20" x14ac:dyDescent="0.3">
      <c r="A14" s="48">
        <v>1993</v>
      </c>
      <c r="B14" s="49">
        <v>14270247</v>
      </c>
      <c r="C14" s="54">
        <f t="shared" si="1"/>
        <v>1.8532546262310712E-2</v>
      </c>
      <c r="D14" s="37">
        <f t="shared" si="0"/>
        <v>1.5712583981651651E-2</v>
      </c>
      <c r="H14" s="48">
        <v>1993</v>
      </c>
      <c r="I14" s="51">
        <v>46354401500</v>
      </c>
      <c r="J14" s="54">
        <f t="shared" si="2"/>
        <v>1.9732181367861923E-2</v>
      </c>
      <c r="K14" s="37">
        <v>2.1999999999999999E-2</v>
      </c>
      <c r="O14" s="55">
        <v>0.51</v>
      </c>
      <c r="P14" s="52"/>
      <c r="Q14" s="52"/>
      <c r="R14" s="52"/>
      <c r="S14" s="50"/>
      <c r="T14" s="53"/>
    </row>
    <row r="15" spans="1:20" x14ac:dyDescent="0.3">
      <c r="A15" s="48">
        <v>1994</v>
      </c>
      <c r="B15" s="49">
        <v>14941494</v>
      </c>
      <c r="C15" s="54">
        <f t="shared" si="1"/>
        <v>4.7038218749822613E-2</v>
      </c>
      <c r="D15" s="37">
        <f t="shared" si="0"/>
        <v>1.5712583981651651E-2</v>
      </c>
      <c r="H15" s="48">
        <v>1994</v>
      </c>
      <c r="I15" s="51">
        <v>48328288000</v>
      </c>
      <c r="J15" s="54">
        <f t="shared" si="2"/>
        <v>4.2582504274162547E-2</v>
      </c>
      <c r="K15" s="37">
        <v>2.1999999999999999E-2</v>
      </c>
      <c r="O15" s="52"/>
      <c r="P15" s="52"/>
      <c r="Q15" s="52"/>
      <c r="R15" s="52"/>
      <c r="S15" s="50"/>
      <c r="T15" s="53"/>
    </row>
    <row r="16" spans="1:20" x14ac:dyDescent="0.3">
      <c r="A16" s="48">
        <v>1995</v>
      </c>
      <c r="B16" s="49">
        <v>15202731</v>
      </c>
      <c r="C16" s="54">
        <f t="shared" si="1"/>
        <v>1.7483994572430328E-2</v>
      </c>
      <c r="D16" s="37">
        <f t="shared" si="0"/>
        <v>1.5712583981651651E-2</v>
      </c>
      <c r="H16" s="48">
        <v>1995</v>
      </c>
      <c r="I16" s="51">
        <v>49416906200</v>
      </c>
      <c r="J16" s="54">
        <f t="shared" si="2"/>
        <v>2.2525486522510407E-2</v>
      </c>
      <c r="K16" s="37">
        <v>2.1999999999999999E-2</v>
      </c>
      <c r="O16" s="55">
        <v>0.49199999999999999</v>
      </c>
      <c r="P16" s="52"/>
      <c r="Q16" s="52"/>
      <c r="R16" s="52"/>
      <c r="S16" s="50"/>
      <c r="T16" s="53"/>
    </row>
    <row r="17" spans="1:20" x14ac:dyDescent="0.3">
      <c r="A17" s="48">
        <v>1996</v>
      </c>
      <c r="B17" s="49">
        <v>15567905</v>
      </c>
      <c r="C17" s="54">
        <f t="shared" si="1"/>
        <v>2.4020289512456605E-2</v>
      </c>
      <c r="D17" s="37">
        <f t="shared" si="0"/>
        <v>1.5712583981651651E-2</v>
      </c>
      <c r="H17" s="48">
        <v>1996</v>
      </c>
      <c r="I17" s="51">
        <v>50272682300</v>
      </c>
      <c r="J17" s="54">
        <f t="shared" si="2"/>
        <v>1.7317476260786169E-2</v>
      </c>
      <c r="K17" s="37">
        <v>2.1999999999999999E-2</v>
      </c>
      <c r="O17" s="52"/>
      <c r="P17" s="52"/>
      <c r="Q17" s="52"/>
      <c r="R17" s="52"/>
      <c r="S17" s="50"/>
      <c r="T17" s="53"/>
    </row>
    <row r="18" spans="1:20" x14ac:dyDescent="0.3">
      <c r="A18" s="48">
        <v>1997</v>
      </c>
      <c r="B18" s="49">
        <v>16198551</v>
      </c>
      <c r="C18" s="54">
        <f t="shared" si="1"/>
        <v>4.0509368473150342E-2</v>
      </c>
      <c r="D18" s="37">
        <f t="shared" si="0"/>
        <v>1.5712583981651651E-2</v>
      </c>
      <c r="H18" s="48">
        <v>1997</v>
      </c>
      <c r="I18" s="51">
        <v>52448416000</v>
      </c>
      <c r="J18" s="54">
        <f t="shared" si="2"/>
        <v>4.3278647576757701E-2</v>
      </c>
      <c r="K18" s="37">
        <v>2.1999999999999999E-2</v>
      </c>
      <c r="O18" s="55">
        <v>0.47899999999999998</v>
      </c>
      <c r="P18" s="52"/>
      <c r="Q18" s="52"/>
      <c r="R18" s="52"/>
      <c r="S18" s="50"/>
      <c r="T18" s="53"/>
    </row>
    <row r="19" spans="1:20" x14ac:dyDescent="0.3">
      <c r="A19" s="48">
        <v>1998</v>
      </c>
      <c r="B19" s="49">
        <v>16541248</v>
      </c>
      <c r="C19" s="54">
        <f t="shared" si="1"/>
        <v>2.1156028091648515E-2</v>
      </c>
      <c r="D19" s="37">
        <f>+D20</f>
        <v>1.5712583981651651E-2</v>
      </c>
      <c r="H19" s="48">
        <v>1998</v>
      </c>
      <c r="I19" s="51">
        <v>54161658900</v>
      </c>
      <c r="J19" s="54">
        <f t="shared" si="2"/>
        <v>3.2665293457098787E-2</v>
      </c>
      <c r="K19" s="37">
        <v>2.1999999999999999E-2</v>
      </c>
      <c r="O19" s="52"/>
      <c r="P19" s="52"/>
      <c r="Q19" s="52"/>
      <c r="R19" s="52"/>
      <c r="S19" s="50"/>
      <c r="T19" s="53"/>
    </row>
    <row r="20" spans="1:20" x14ac:dyDescent="0.3">
      <c r="A20" s="48">
        <v>1999</v>
      </c>
      <c r="B20" s="49">
        <v>15499239</v>
      </c>
      <c r="C20" s="54">
        <f t="shared" si="1"/>
        <v>-6.299458178729922E-2</v>
      </c>
      <c r="D20" s="56">
        <f>+(B20/B2)^(1/(A20-A2))-1</f>
        <v>1.5712583981651651E-2</v>
      </c>
      <c r="H20" s="48">
        <v>1999</v>
      </c>
      <c r="I20" s="51">
        <v>51594728900</v>
      </c>
      <c r="J20" s="54">
        <f t="shared" si="2"/>
        <v>-4.7393858536338151E-2</v>
      </c>
      <c r="K20" s="37">
        <v>2.1999999999999999E-2</v>
      </c>
      <c r="O20" s="55">
        <v>0.53400000000000003</v>
      </c>
      <c r="P20" s="52"/>
      <c r="Q20" s="52"/>
      <c r="R20" s="52"/>
      <c r="S20" s="50"/>
      <c r="T20" s="53"/>
    </row>
    <row r="21" spans="1:20" x14ac:dyDescent="0.3">
      <c r="A21" s="48">
        <v>2000</v>
      </c>
      <c r="B21" s="49">
        <v>16282908</v>
      </c>
      <c r="C21" s="54">
        <f t="shared" si="1"/>
        <v>5.0561772742519828E-2</v>
      </c>
      <c r="D21" s="37"/>
      <c r="E21" s="37">
        <v>5.1050161342610201E-2</v>
      </c>
      <c r="H21" s="48">
        <v>2000</v>
      </c>
      <c r="I21" s="51">
        <v>52158041000</v>
      </c>
      <c r="J21" s="54">
        <f t="shared" si="2"/>
        <v>1.0918016472027725E-2</v>
      </c>
      <c r="L21" s="37">
        <v>3.9E-2</v>
      </c>
      <c r="O21" s="52"/>
      <c r="P21" s="52">
        <v>0.56999999999999995</v>
      </c>
      <c r="Q21" s="20">
        <v>57</v>
      </c>
      <c r="R21" s="57">
        <f t="shared" ref="R21:R46" si="3">+Q21*T21</f>
        <v>128.23826327507734</v>
      </c>
      <c r="S21" s="57">
        <v>46.246817509548407</v>
      </c>
      <c r="T21" s="53">
        <f t="shared" ref="T21:T46" si="4">+$S$36/S21</f>
        <v>2.2497940925452165</v>
      </c>
    </row>
    <row r="22" spans="1:20" x14ac:dyDescent="0.3">
      <c r="A22" s="48">
        <v>2001</v>
      </c>
      <c r="B22" s="49">
        <v>17057245</v>
      </c>
      <c r="C22" s="54">
        <f t="shared" si="1"/>
        <v>4.7555203284327385E-2</v>
      </c>
      <c r="D22" s="37"/>
      <c r="E22" s="37">
        <v>5.1050161342610201E-2</v>
      </c>
      <c r="H22" s="48">
        <v>2001</v>
      </c>
      <c r="I22" s="51">
        <v>54351950000</v>
      </c>
      <c r="J22" s="54">
        <f t="shared" si="2"/>
        <v>4.2062718574878977E-2</v>
      </c>
      <c r="L22" s="37">
        <v>3.9E-2</v>
      </c>
      <c r="O22" s="58">
        <v>0.57499999999999996</v>
      </c>
      <c r="P22" s="58">
        <v>0.58099999999999996</v>
      </c>
      <c r="Q22" s="20">
        <v>85.65</v>
      </c>
      <c r="R22" s="57">
        <f t="shared" si="3"/>
        <v>157.3806332514113</v>
      </c>
      <c r="S22" s="57">
        <v>56.624020551656876</v>
      </c>
      <c r="T22" s="53">
        <f t="shared" si="4"/>
        <v>1.8374855020596765</v>
      </c>
    </row>
    <row r="23" spans="1:20" x14ac:dyDescent="0.3">
      <c r="A23" s="48">
        <v>2002</v>
      </c>
      <c r="B23" s="49">
        <v>17641924</v>
      </c>
      <c r="C23" s="54">
        <f t="shared" si="1"/>
        <v>3.4277458053747933E-2</v>
      </c>
      <c r="D23" s="37"/>
      <c r="E23" s="37">
        <v>5.1050161342610201E-2</v>
      </c>
      <c r="H23" s="48">
        <v>2002</v>
      </c>
      <c r="I23" s="51">
        <v>57030466000</v>
      </c>
      <c r="J23" s="54">
        <f t="shared" si="2"/>
        <v>4.9280954961137491E-2</v>
      </c>
      <c r="L23" s="37">
        <v>3.9E-2</v>
      </c>
      <c r="O23" s="52"/>
      <c r="P23" s="55">
        <v>0.52690000000000003</v>
      </c>
      <c r="Q23" s="20">
        <v>104.88</v>
      </c>
      <c r="R23" s="57">
        <f t="shared" si="3"/>
        <v>176.22800822087018</v>
      </c>
      <c r="S23" s="57">
        <v>61.921628573724668</v>
      </c>
      <c r="T23" s="53">
        <f t="shared" si="4"/>
        <v>1.6802823056909819</v>
      </c>
    </row>
    <row r="24" spans="1:20" x14ac:dyDescent="0.3">
      <c r="A24" s="48">
        <v>2003</v>
      </c>
      <c r="B24" s="49">
        <v>18219436</v>
      </c>
      <c r="C24" s="54">
        <f t="shared" si="1"/>
        <v>3.2735205071737106E-2</v>
      </c>
      <c r="D24" s="37"/>
      <c r="E24" s="37">
        <v>5.1050161342610201E-2</v>
      </c>
      <c r="H24" s="48">
        <v>2003</v>
      </c>
      <c r="I24" s="51">
        <v>58675510000</v>
      </c>
      <c r="J24" s="54">
        <f t="shared" si="2"/>
        <v>2.8845003651206458E-2</v>
      </c>
      <c r="L24" s="37">
        <v>3.9E-2</v>
      </c>
      <c r="O24" s="55">
        <v>0.53800000000000003</v>
      </c>
      <c r="P24" s="55">
        <v>0.55859999999999999</v>
      </c>
      <c r="Q24" s="20">
        <v>129.91</v>
      </c>
      <c r="R24" s="57">
        <f t="shared" si="3"/>
        <v>205.79403282512371</v>
      </c>
      <c r="S24" s="57">
        <v>65.680194314141545</v>
      </c>
      <c r="T24" s="53">
        <f t="shared" si="4"/>
        <v>1.5841277255417112</v>
      </c>
    </row>
    <row r="25" spans="1:20" x14ac:dyDescent="0.3">
      <c r="A25" s="48">
        <v>2004</v>
      </c>
      <c r="B25" s="49">
        <v>19827114</v>
      </c>
      <c r="C25" s="54">
        <f t="shared" si="1"/>
        <v>8.8239723776301293E-2</v>
      </c>
      <c r="D25" s="37"/>
      <c r="E25" s="37">
        <v>5.1050161342610201E-2</v>
      </c>
      <c r="H25" s="48">
        <v>2004</v>
      </c>
      <c r="I25" s="51">
        <v>62684454000</v>
      </c>
      <c r="J25" s="54">
        <f t="shared" si="2"/>
        <v>6.8323973664651483E-2</v>
      </c>
      <c r="L25" s="37">
        <v>3.9E-2</v>
      </c>
      <c r="O25" s="52"/>
      <c r="P25" s="55">
        <v>0.56799999999999995</v>
      </c>
      <c r="Q25" s="20">
        <v>135.63</v>
      </c>
      <c r="R25" s="57">
        <f t="shared" si="3"/>
        <v>210.75484676461451</v>
      </c>
      <c r="S25" s="57">
        <v>66.958052702270393</v>
      </c>
      <c r="T25" s="53">
        <f t="shared" si="4"/>
        <v>1.5538955007344579</v>
      </c>
    </row>
    <row r="26" spans="1:20" x14ac:dyDescent="0.3">
      <c r="A26" s="48">
        <v>2005</v>
      </c>
      <c r="B26" s="49">
        <v>20965934</v>
      </c>
      <c r="C26" s="54">
        <f t="shared" si="1"/>
        <v>5.7437507042124247E-2</v>
      </c>
      <c r="D26" s="37"/>
      <c r="E26" s="37">
        <v>5.1050161342610201E-2</v>
      </c>
      <c r="H26" s="48">
        <v>2005</v>
      </c>
      <c r="I26" s="51">
        <v>66068551000.000008</v>
      </c>
      <c r="J26" s="54">
        <f t="shared" si="2"/>
        <v>5.3986224399434235E-2</v>
      </c>
      <c r="L26" s="37">
        <v>3.9E-2</v>
      </c>
      <c r="O26" s="55">
        <v>0.52400000000000002</v>
      </c>
      <c r="P26" s="55">
        <v>0.54800000000000004</v>
      </c>
      <c r="Q26" s="20">
        <v>150</v>
      </c>
      <c r="R26" s="57">
        <f t="shared" si="3"/>
        <v>226.00095948146205</v>
      </c>
      <c r="S26" s="57">
        <v>69.056664894734539</v>
      </c>
      <c r="T26" s="53">
        <f t="shared" si="4"/>
        <v>1.5066730632097469</v>
      </c>
    </row>
    <row r="27" spans="1:20" x14ac:dyDescent="0.3">
      <c r="A27" s="48">
        <v>2006</v>
      </c>
      <c r="B27" s="49">
        <v>21962131</v>
      </c>
      <c r="C27" s="54">
        <f t="shared" si="1"/>
        <v>4.7515030811410508E-2</v>
      </c>
      <c r="D27" s="56"/>
      <c r="E27" s="56">
        <v>5.1050161342610201E-2</v>
      </c>
      <c r="H27" s="48">
        <v>2006</v>
      </c>
      <c r="I27" s="51">
        <v>68936674000</v>
      </c>
      <c r="J27" s="54">
        <f t="shared" si="2"/>
        <v>4.3411319857763919E-2</v>
      </c>
      <c r="L27" s="37">
        <v>3.9E-2</v>
      </c>
      <c r="O27" s="52"/>
      <c r="P27" s="55">
        <v>0.52600000000000002</v>
      </c>
      <c r="Q27" s="20">
        <v>160</v>
      </c>
      <c r="R27" s="57">
        <f t="shared" si="3"/>
        <v>234.34345161977507</v>
      </c>
      <c r="S27" s="57">
        <v>71.038173151645267</v>
      </c>
      <c r="T27" s="53">
        <f t="shared" si="4"/>
        <v>1.4646465726235942</v>
      </c>
    </row>
    <row r="28" spans="1:20" x14ac:dyDescent="0.3">
      <c r="A28" s="48">
        <v>2007</v>
      </c>
      <c r="B28" s="49">
        <v>22409653</v>
      </c>
      <c r="C28" s="54">
        <f t="shared" si="1"/>
        <v>2.0376984364586459E-2</v>
      </c>
      <c r="D28" s="37"/>
      <c r="E28" s="37"/>
      <c r="F28" s="37">
        <v>4.3999999999999997E-2</v>
      </c>
      <c r="G28" s="37"/>
      <c r="H28" s="48">
        <v>2007</v>
      </c>
      <c r="I28" s="51">
        <v>70248145000</v>
      </c>
      <c r="J28" s="54">
        <f t="shared" si="2"/>
        <v>1.902428597004846E-2</v>
      </c>
      <c r="L28" s="37">
        <v>3.9E-2</v>
      </c>
      <c r="O28" s="55">
        <v>0.52100000000000002</v>
      </c>
      <c r="P28" s="55">
        <v>0.55000000000000004</v>
      </c>
      <c r="Q28" s="20">
        <v>170</v>
      </c>
      <c r="R28" s="57">
        <f t="shared" si="3"/>
        <v>240.98976464318463</v>
      </c>
      <c r="S28" s="57">
        <v>73.396431950662929</v>
      </c>
      <c r="T28" s="53">
        <f t="shared" si="4"/>
        <v>1.4175868508422624</v>
      </c>
    </row>
    <row r="29" spans="1:20" x14ac:dyDescent="0.3">
      <c r="A29" s="48">
        <v>2008</v>
      </c>
      <c r="B29" s="49">
        <v>24032489</v>
      </c>
      <c r="C29" s="54">
        <f t="shared" si="1"/>
        <v>7.2416828587216431E-2</v>
      </c>
      <c r="D29" s="37"/>
      <c r="E29" s="37"/>
      <c r="F29" s="37">
        <v>4.3999999999999997E-2</v>
      </c>
      <c r="G29" s="37"/>
      <c r="H29" s="48">
        <v>2008</v>
      </c>
      <c r="I29" s="51">
        <v>74859880000</v>
      </c>
      <c r="J29" s="54">
        <f t="shared" si="2"/>
        <v>6.5649206822471884E-2</v>
      </c>
      <c r="L29" s="37">
        <v>3.9E-2</v>
      </c>
      <c r="O29" s="52"/>
      <c r="P29" s="55">
        <v>0.51400000000000001</v>
      </c>
      <c r="Q29" s="20">
        <v>200</v>
      </c>
      <c r="R29" s="57">
        <f t="shared" si="3"/>
        <v>260.51268937301006</v>
      </c>
      <c r="S29" s="57">
        <v>79.877734234298799</v>
      </c>
      <c r="T29" s="53">
        <f t="shared" si="4"/>
        <v>1.3025634468650504</v>
      </c>
    </row>
    <row r="30" spans="1:20" x14ac:dyDescent="0.3">
      <c r="A30" s="48">
        <v>2009</v>
      </c>
      <c r="B30" s="49">
        <v>24119455</v>
      </c>
      <c r="C30" s="54">
        <f t="shared" si="1"/>
        <v>3.6186846897132696E-3</v>
      </c>
      <c r="D30" s="37"/>
      <c r="E30" s="37"/>
      <c r="F30" s="37">
        <v>4.3999999999999997E-2</v>
      </c>
      <c r="G30" s="37"/>
      <c r="H30" s="48">
        <v>2009</v>
      </c>
      <c r="I30" s="51">
        <v>75676611000</v>
      </c>
      <c r="J30" s="54">
        <f t="shared" si="2"/>
        <v>1.0910129698310955E-2</v>
      </c>
      <c r="L30" s="37">
        <v>3.9E-2</v>
      </c>
      <c r="O30" s="55">
        <v>0.48199999999999998</v>
      </c>
      <c r="P30" s="55">
        <v>0.504</v>
      </c>
      <c r="Q30" s="20">
        <v>218</v>
      </c>
      <c r="R30" s="57">
        <f t="shared" si="3"/>
        <v>272.22134489331444</v>
      </c>
      <c r="S30" s="57">
        <v>83.321857359366689</v>
      </c>
      <c r="T30" s="53">
        <f t="shared" si="4"/>
        <v>1.2487217655656626</v>
      </c>
    </row>
    <row r="31" spans="1:20" x14ac:dyDescent="0.3">
      <c r="A31" s="48">
        <v>2010</v>
      </c>
      <c r="B31" s="49">
        <v>24983318</v>
      </c>
      <c r="C31" s="54">
        <f t="shared" si="1"/>
        <v>3.5816024864575136E-2</v>
      </c>
      <c r="D31" s="56"/>
      <c r="E31" s="56"/>
      <c r="F31" s="37">
        <v>4.3999999999999997E-2</v>
      </c>
      <c r="G31" s="37"/>
      <c r="H31" s="48">
        <v>2010</v>
      </c>
      <c r="I31" s="51">
        <v>78725726000</v>
      </c>
      <c r="J31" s="54">
        <f t="shared" si="2"/>
        <v>4.029137879866207E-2</v>
      </c>
      <c r="L31" s="37">
        <v>3.9E-2</v>
      </c>
      <c r="O31" s="52"/>
      <c r="P31" s="55">
        <v>0.50800000000000001</v>
      </c>
      <c r="Q31" s="20">
        <v>240</v>
      </c>
      <c r="R31" s="57">
        <f t="shared" si="3"/>
        <v>290.04057177687099</v>
      </c>
      <c r="S31" s="57">
        <v>86.094837996974917</v>
      </c>
      <c r="T31" s="53">
        <f t="shared" si="4"/>
        <v>1.2085023824036292</v>
      </c>
    </row>
    <row r="32" spans="1:20" x14ac:dyDescent="0.3">
      <c r="A32" s="59">
        <v>2011</v>
      </c>
      <c r="C32" s="60">
        <v>7.8E-2</v>
      </c>
      <c r="F32" s="37">
        <v>4.3999999999999997E-2</v>
      </c>
      <c r="G32" s="37"/>
      <c r="H32" s="48">
        <v>2011</v>
      </c>
      <c r="I32" s="51">
        <v>85402830000</v>
      </c>
      <c r="J32" s="54">
        <f t="shared" si="2"/>
        <v>8.4814765633282274E-2</v>
      </c>
      <c r="M32" s="37">
        <v>4.3999999999999997E-2</v>
      </c>
      <c r="O32" s="55">
        <v>0.44130000000000003</v>
      </c>
      <c r="P32" s="55">
        <v>0.47320000000000001</v>
      </c>
      <c r="Q32" s="20">
        <v>264</v>
      </c>
      <c r="R32" s="57">
        <f t="shared" si="3"/>
        <v>302.67194633620693</v>
      </c>
      <c r="S32" s="57">
        <v>90.75203690379746</v>
      </c>
      <c r="T32" s="53">
        <f t="shared" si="4"/>
        <v>1.1464846452129049</v>
      </c>
    </row>
    <row r="33" spans="1:20" x14ac:dyDescent="0.3">
      <c r="A33" s="59">
        <v>2012</v>
      </c>
      <c r="C33" s="61">
        <v>5.0999999999999997E-2</v>
      </c>
      <c r="H33" s="48">
        <v>2012</v>
      </c>
      <c r="I33" s="51">
        <v>90341857000</v>
      </c>
      <c r="J33" s="54">
        <f t="shared" si="2"/>
        <v>5.7832123361720056E-2</v>
      </c>
      <c r="M33" s="37">
        <v>4.3999999999999997E-2</v>
      </c>
      <c r="O33" s="52"/>
      <c r="P33" s="55">
        <v>0.47670000000000001</v>
      </c>
      <c r="Q33" s="20">
        <v>292</v>
      </c>
      <c r="R33" s="57">
        <f t="shared" si="3"/>
        <v>321.39108224283484</v>
      </c>
      <c r="S33" s="57">
        <v>94.530869689745231</v>
      </c>
      <c r="T33" s="53">
        <f t="shared" si="4"/>
        <v>1.100654391242585</v>
      </c>
    </row>
    <row r="34" spans="1:20" x14ac:dyDescent="0.3">
      <c r="C34" s="37">
        <f>AVERAGE(C27:C33)</f>
        <v>4.4106221902500256E-2</v>
      </c>
      <c r="H34" s="48">
        <v>2013</v>
      </c>
      <c r="I34" s="51">
        <v>96856622000</v>
      </c>
      <c r="J34" s="54">
        <f t="shared" si="2"/>
        <v>7.2112365367915876E-2</v>
      </c>
      <c r="M34" s="37">
        <v>4.3999999999999997E-2</v>
      </c>
      <c r="O34" s="55">
        <v>0.4708</v>
      </c>
      <c r="P34" s="55">
        <v>0.48499999999999999</v>
      </c>
      <c r="Q34" s="20">
        <v>318</v>
      </c>
      <c r="R34" s="57">
        <f t="shared" si="3"/>
        <v>340.8051906738541</v>
      </c>
      <c r="S34" s="57">
        <v>97.083526477855131</v>
      </c>
      <c r="T34" s="53">
        <f t="shared" si="4"/>
        <v>1.0717144360813022</v>
      </c>
    </row>
    <row r="35" spans="1:20" x14ac:dyDescent="0.3">
      <c r="H35" s="48">
        <v>2014</v>
      </c>
      <c r="I35" s="51">
        <v>100949846000</v>
      </c>
      <c r="J35" s="54">
        <f t="shared" si="2"/>
        <v>4.2260652038845548E-2</v>
      </c>
      <c r="M35" s="37">
        <v>4.3999999999999997E-2</v>
      </c>
      <c r="O35" s="52"/>
      <c r="P35" s="55">
        <v>0.46650000000000003</v>
      </c>
      <c r="Q35" s="20">
        <v>340</v>
      </c>
      <c r="R35" s="57">
        <f t="shared" si="3"/>
        <v>351.49242545338785</v>
      </c>
      <c r="S35" s="57">
        <v>100.64392618773738</v>
      </c>
      <c r="T35" s="53">
        <f t="shared" si="4"/>
        <v>1.0338012513334938</v>
      </c>
    </row>
    <row r="36" spans="1:20" x14ac:dyDescent="0.3">
      <c r="H36" s="48">
        <v>2015</v>
      </c>
      <c r="I36" s="51">
        <v>101070675000</v>
      </c>
      <c r="J36" s="54">
        <f t="shared" si="2"/>
        <v>1.1969210928761687E-3</v>
      </c>
      <c r="M36" s="37">
        <v>4.3999999999999997E-2</v>
      </c>
      <c r="O36" s="55">
        <v>0.45440000000000003</v>
      </c>
      <c r="P36" s="55">
        <v>0.47570000000000001</v>
      </c>
      <c r="Q36" s="20">
        <v>354</v>
      </c>
      <c r="R36" s="57">
        <f t="shared" si="3"/>
        <v>354</v>
      </c>
      <c r="S36" s="57">
        <v>104.04581683199868</v>
      </c>
      <c r="T36" s="53">
        <f t="shared" si="4"/>
        <v>1</v>
      </c>
    </row>
    <row r="37" spans="1:20" x14ac:dyDescent="0.3">
      <c r="H37" s="48">
        <v>2016</v>
      </c>
      <c r="I37" s="51">
        <v>100375355000</v>
      </c>
      <c r="J37" s="54">
        <f t="shared" si="2"/>
        <v>-6.8795424587794196E-3</v>
      </c>
      <c r="M37" s="37">
        <v>4.3999999999999997E-2</v>
      </c>
      <c r="O37" s="52"/>
      <c r="P37" s="55">
        <v>0.46600000000000003</v>
      </c>
      <c r="Q37" s="20">
        <v>366</v>
      </c>
      <c r="R37" s="57">
        <f t="shared" si="3"/>
        <v>361.94694902159983</v>
      </c>
      <c r="S37" s="57">
        <v>105.21091299001108</v>
      </c>
      <c r="T37" s="53">
        <f t="shared" si="4"/>
        <v>0.9889260902229503</v>
      </c>
    </row>
    <row r="38" spans="1:20" x14ac:dyDescent="0.3">
      <c r="H38" s="48">
        <v>2017</v>
      </c>
      <c r="I38" s="51">
        <v>106368164000</v>
      </c>
      <c r="J38" s="54">
        <f t="shared" si="2"/>
        <v>5.9703988095484162E-2</v>
      </c>
      <c r="M38" s="37">
        <v>4.3999999999999997E-2</v>
      </c>
      <c r="O38" s="55">
        <v>0.43490000000000001</v>
      </c>
      <c r="P38" s="55">
        <v>0.45929999999999999</v>
      </c>
      <c r="Q38" s="20">
        <v>375</v>
      </c>
      <c r="R38" s="57">
        <f t="shared" si="3"/>
        <v>371.57818013196334</v>
      </c>
      <c r="S38" s="57">
        <v>105.00396255276031</v>
      </c>
      <c r="T38" s="53">
        <f t="shared" si="4"/>
        <v>0.99087514701856894</v>
      </c>
    </row>
    <row r="39" spans="1:20" x14ac:dyDescent="0.3">
      <c r="H39" s="48">
        <v>2018</v>
      </c>
      <c r="I39" s="51">
        <v>107478961000</v>
      </c>
      <c r="J39" s="54">
        <f t="shared" si="2"/>
        <v>1.0442946067960701E-2</v>
      </c>
      <c r="N39" s="37">
        <v>0.01</v>
      </c>
      <c r="O39" s="52"/>
      <c r="P39" s="55">
        <v>0.46899999999999997</v>
      </c>
      <c r="Q39" s="20">
        <v>386</v>
      </c>
      <c r="R39" s="57">
        <f t="shared" si="3"/>
        <v>381.46246673546256</v>
      </c>
      <c r="S39" s="57">
        <v>105.28345197590016</v>
      </c>
      <c r="T39" s="53">
        <f t="shared" si="4"/>
        <v>0.98824473247529165</v>
      </c>
    </row>
    <row r="40" spans="1:20" x14ac:dyDescent="0.3">
      <c r="H40" s="48">
        <v>2019</v>
      </c>
      <c r="I40" s="51">
        <v>107656736000</v>
      </c>
      <c r="J40" s="54">
        <f t="shared" si="2"/>
        <v>1.654044646002939E-3</v>
      </c>
      <c r="N40" s="37">
        <v>0.01</v>
      </c>
      <c r="O40" s="55">
        <v>0.4536</v>
      </c>
      <c r="P40" s="55">
        <v>0.47339999999999999</v>
      </c>
      <c r="Q40" s="20">
        <v>394</v>
      </c>
      <c r="R40" s="57">
        <f t="shared" si="3"/>
        <v>389.62297767952481</v>
      </c>
      <c r="S40" s="57">
        <v>105.21466694791847</v>
      </c>
      <c r="T40" s="53">
        <f t="shared" si="4"/>
        <v>0.98889080629321024</v>
      </c>
    </row>
    <row r="41" spans="1:20" x14ac:dyDescent="0.3">
      <c r="H41" s="48">
        <v>2020</v>
      </c>
      <c r="I41" s="51">
        <v>97703767200</v>
      </c>
      <c r="J41" s="54">
        <f t="shared" si="2"/>
        <v>-9.2450961916586416E-2</v>
      </c>
      <c r="N41" s="37">
        <v>0.01</v>
      </c>
      <c r="O41" s="52"/>
      <c r="P41" s="55">
        <v>0.49769999999999998</v>
      </c>
      <c r="Q41" s="20">
        <v>400</v>
      </c>
      <c r="R41" s="57">
        <f t="shared" si="3"/>
        <v>399.28157645869896</v>
      </c>
      <c r="S41" s="57">
        <v>104.23302548021373</v>
      </c>
      <c r="T41" s="53">
        <f t="shared" si="4"/>
        <v>0.99820394114674738</v>
      </c>
    </row>
    <row r="42" spans="1:20" x14ac:dyDescent="0.3">
      <c r="H42" s="48">
        <v>2021</v>
      </c>
      <c r="I42" s="51">
        <v>106909311300</v>
      </c>
      <c r="J42" s="54">
        <f t="shared" si="2"/>
        <v>9.4218926903363087E-2</v>
      </c>
      <c r="N42" s="37">
        <v>0.01</v>
      </c>
      <c r="O42" s="55">
        <v>0.46550000000000002</v>
      </c>
      <c r="P42" s="55">
        <v>0.48599999999999999</v>
      </c>
      <c r="Q42" s="20">
        <v>400</v>
      </c>
      <c r="R42" s="57">
        <f t="shared" si="3"/>
        <v>391.68032080025347</v>
      </c>
      <c r="S42" s="57">
        <v>106.25585336472319</v>
      </c>
      <c r="T42" s="53">
        <f t="shared" si="4"/>
        <v>0.97920080200063364</v>
      </c>
    </row>
    <row r="43" spans="1:20" x14ac:dyDescent="0.3">
      <c r="H43" s="48">
        <v>2022</v>
      </c>
      <c r="I43" s="51">
        <v>113183202500</v>
      </c>
      <c r="J43" s="54">
        <f t="shared" si="2"/>
        <v>5.868423548623114E-2</v>
      </c>
      <c r="N43" s="37">
        <v>0.01</v>
      </c>
      <c r="O43" s="52"/>
      <c r="P43" s="55">
        <v>0.46590505436662949</v>
      </c>
      <c r="Q43" s="20">
        <v>425</v>
      </c>
      <c r="R43" s="57">
        <f t="shared" si="3"/>
        <v>401.16618438996767</v>
      </c>
      <c r="S43" s="57">
        <v>110.22731694308099</v>
      </c>
      <c r="T43" s="53">
        <f t="shared" si="4"/>
        <v>0.94392043385874747</v>
      </c>
    </row>
    <row r="44" spans="1:20" x14ac:dyDescent="0.3">
      <c r="H44" s="48">
        <v>2023</v>
      </c>
      <c r="I44" s="51">
        <v>115433554100</v>
      </c>
      <c r="J44" s="54">
        <f t="shared" si="2"/>
        <v>1.9882381398423465E-2</v>
      </c>
      <c r="N44" s="37">
        <v>0.01</v>
      </c>
      <c r="O44" s="55">
        <v>0.43208480286619461</v>
      </c>
      <c r="P44" s="55">
        <v>0.45720593564451528</v>
      </c>
      <c r="Q44" s="20">
        <v>450</v>
      </c>
      <c r="R44" s="57">
        <f t="shared" si="3"/>
        <v>419.10732730514644</v>
      </c>
      <c r="S44" s="57">
        <v>111.71510141675462</v>
      </c>
      <c r="T44" s="53">
        <f t="shared" si="4"/>
        <v>0.93134961623365875</v>
      </c>
    </row>
    <row r="45" spans="1:20" x14ac:dyDescent="0.3">
      <c r="H45" s="48">
        <v>2024</v>
      </c>
      <c r="I45" s="51">
        <v>113123434600</v>
      </c>
      <c r="J45" s="54">
        <f t="shared" si="2"/>
        <v>-2.001254763410254E-2</v>
      </c>
      <c r="N45" s="37">
        <v>0.01</v>
      </c>
      <c r="O45" s="52">
        <v>0.44600000000000001</v>
      </c>
      <c r="P45" s="55">
        <v>0.46326720790839798</v>
      </c>
      <c r="Q45" s="20">
        <v>460</v>
      </c>
      <c r="R45" s="57">
        <f t="shared" si="3"/>
        <v>426.16568419256492</v>
      </c>
      <c r="S45" s="57">
        <v>112.30626377954248</v>
      </c>
      <c r="T45" s="53">
        <f t="shared" si="4"/>
        <v>0.92644713954905422</v>
      </c>
    </row>
    <row r="46" spans="1:20" x14ac:dyDescent="0.3">
      <c r="H46" s="62">
        <v>2025</v>
      </c>
      <c r="Q46" s="20">
        <v>470</v>
      </c>
      <c r="R46" s="57">
        <f t="shared" si="3"/>
        <v>425.93444744394543</v>
      </c>
      <c r="S46" s="57">
        <v>114.81</v>
      </c>
      <c r="T46" s="53">
        <f t="shared" si="4"/>
        <v>0.90624350519988395</v>
      </c>
    </row>
  </sheetData>
  <mergeCells count="1">
    <mergeCell ref="K1:N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34C8-EA00-40F9-841D-8B9CBF6FE99E}">
  <dimension ref="A1:F54"/>
  <sheetViews>
    <sheetView workbookViewId="0">
      <selection activeCell="I6" sqref="I6"/>
    </sheetView>
  </sheetViews>
  <sheetFormatPr baseColWidth="10" defaultRowHeight="14.4" x14ac:dyDescent="0.3"/>
  <cols>
    <col min="2" max="5" width="15.77734375" customWidth="1"/>
    <col min="6" max="6" width="44.77734375" customWidth="1"/>
  </cols>
  <sheetData>
    <row r="1" spans="1:6" x14ac:dyDescent="0.3">
      <c r="A1" s="127" t="s">
        <v>129</v>
      </c>
      <c r="B1" s="127"/>
      <c r="C1" s="127"/>
      <c r="D1" s="127"/>
      <c r="E1" s="127"/>
    </row>
    <row r="2" spans="1:6" ht="43.2" x14ac:dyDescent="0.3">
      <c r="A2" s="104" t="s">
        <v>130</v>
      </c>
      <c r="B2" s="104" t="s">
        <v>131</v>
      </c>
      <c r="C2" s="104" t="s">
        <v>132</v>
      </c>
      <c r="D2" s="104" t="s">
        <v>133</v>
      </c>
      <c r="E2" s="104" t="s">
        <v>134</v>
      </c>
      <c r="F2" s="104" t="s">
        <v>135</v>
      </c>
    </row>
    <row r="3" spans="1:6" x14ac:dyDescent="0.3">
      <c r="A3">
        <v>2002</v>
      </c>
      <c r="B3" s="105">
        <v>0</v>
      </c>
      <c r="C3" s="105">
        <v>54400</v>
      </c>
      <c r="D3" s="105">
        <v>3740</v>
      </c>
      <c r="E3" s="106">
        <v>0.2</v>
      </c>
      <c r="F3" t="s">
        <v>136</v>
      </c>
    </row>
    <row r="4" spans="1:6" x14ac:dyDescent="0.3">
      <c r="A4">
        <v>2006</v>
      </c>
      <c r="B4" s="105">
        <v>0</v>
      </c>
      <c r="C4" s="105">
        <v>58800</v>
      </c>
      <c r="D4" s="105">
        <v>6965</v>
      </c>
      <c r="E4" s="106">
        <v>0.25</v>
      </c>
      <c r="F4" t="s">
        <v>137</v>
      </c>
    </row>
    <row r="5" spans="1:6" x14ac:dyDescent="0.3">
      <c r="A5">
        <v>2008</v>
      </c>
      <c r="B5" s="105">
        <v>0</v>
      </c>
      <c r="C5" s="105">
        <v>62800</v>
      </c>
      <c r="D5" s="105">
        <v>7458</v>
      </c>
      <c r="E5" s="106">
        <v>0.25</v>
      </c>
      <c r="F5" t="s">
        <v>137</v>
      </c>
    </row>
    <row r="6" spans="1:6" x14ac:dyDescent="0.3">
      <c r="A6">
        <v>2010</v>
      </c>
      <c r="B6" s="107" t="s">
        <v>138</v>
      </c>
      <c r="C6" s="105">
        <v>90810</v>
      </c>
      <c r="D6" s="105">
        <v>10963</v>
      </c>
      <c r="E6" s="106">
        <v>0.3</v>
      </c>
      <c r="F6" t="s">
        <v>139</v>
      </c>
    </row>
    <row r="7" spans="1:6" x14ac:dyDescent="0.3">
      <c r="A7">
        <v>2018</v>
      </c>
      <c r="B7" s="105">
        <v>86180</v>
      </c>
      <c r="C7" s="105">
        <v>114890</v>
      </c>
      <c r="D7" s="105">
        <v>13872</v>
      </c>
      <c r="E7" s="106">
        <v>0.3</v>
      </c>
      <c r="F7" t="s">
        <v>140</v>
      </c>
    </row>
    <row r="8" spans="1:6" x14ac:dyDescent="0.3">
      <c r="A8">
        <v>2019</v>
      </c>
      <c r="B8" s="108">
        <v>86480</v>
      </c>
      <c r="C8" s="105">
        <v>115290</v>
      </c>
      <c r="D8" s="105">
        <v>13920</v>
      </c>
      <c r="E8" s="106">
        <v>0.3</v>
      </c>
      <c r="F8" t="s">
        <v>141</v>
      </c>
    </row>
    <row r="9" spans="1:6" x14ac:dyDescent="0.3">
      <c r="A9">
        <v>2020</v>
      </c>
      <c r="B9" s="109">
        <v>107199</v>
      </c>
      <c r="C9" s="105">
        <v>115338</v>
      </c>
      <c r="D9" s="105">
        <v>13925</v>
      </c>
      <c r="E9" s="106">
        <v>0.3</v>
      </c>
      <c r="F9" t="s">
        <v>142</v>
      </c>
    </row>
    <row r="10" spans="1:6" x14ac:dyDescent="0.3">
      <c r="A10">
        <v>2023</v>
      </c>
      <c r="B10" s="105">
        <v>79388</v>
      </c>
      <c r="C10" s="105">
        <v>105580</v>
      </c>
      <c r="D10" s="105">
        <v>14427</v>
      </c>
      <c r="E10" s="106">
        <v>0.35</v>
      </c>
      <c r="F10" t="s">
        <v>137</v>
      </c>
    </row>
    <row r="11" spans="1:6" x14ac:dyDescent="0.3">
      <c r="A11">
        <v>2024</v>
      </c>
      <c r="B11" s="107" t="s">
        <v>143</v>
      </c>
      <c r="C11" t="s">
        <v>144</v>
      </c>
      <c r="D11" t="s">
        <v>144</v>
      </c>
      <c r="E11" t="s">
        <v>144</v>
      </c>
      <c r="F11" t="s">
        <v>145</v>
      </c>
    </row>
    <row r="12" spans="1:6" x14ac:dyDescent="0.3">
      <c r="A12">
        <v>2025</v>
      </c>
      <c r="B12" s="105">
        <v>108810</v>
      </c>
      <c r="C12" t="s">
        <v>146</v>
      </c>
      <c r="D12" s="105">
        <v>24316</v>
      </c>
      <c r="E12" s="106">
        <v>0.37</v>
      </c>
      <c r="F12" t="s">
        <v>147</v>
      </c>
    </row>
    <row r="15" spans="1:6" x14ac:dyDescent="0.3">
      <c r="A15" t="s">
        <v>148</v>
      </c>
    </row>
    <row r="16" spans="1:6" x14ac:dyDescent="0.3">
      <c r="A16" t="s">
        <v>1</v>
      </c>
      <c r="B16" t="s">
        <v>149</v>
      </c>
      <c r="C16" t="s">
        <v>150</v>
      </c>
      <c r="D16" t="s">
        <v>151</v>
      </c>
      <c r="E16" t="s">
        <v>153</v>
      </c>
    </row>
    <row r="17" spans="1:5" x14ac:dyDescent="0.3">
      <c r="A17">
        <v>2002</v>
      </c>
      <c r="B17" s="110">
        <v>49600</v>
      </c>
      <c r="C17" s="110">
        <f>B17*B31</f>
        <v>83342.002362272702</v>
      </c>
      <c r="D17" s="106">
        <v>0.2</v>
      </c>
      <c r="E17" s="110">
        <f>C17/12</f>
        <v>6945.1668635227252</v>
      </c>
    </row>
    <row r="18" spans="1:5" x14ac:dyDescent="0.3">
      <c r="A18">
        <v>2006</v>
      </c>
      <c r="B18" s="110">
        <v>61440</v>
      </c>
      <c r="C18" s="110">
        <f>B18*B35</f>
        <v>89987.885421993633</v>
      </c>
      <c r="D18" s="106">
        <v>0.25</v>
      </c>
      <c r="E18" s="110">
        <f t="shared" ref="E18:E26" si="0">C18/12</f>
        <v>7498.990451832803</v>
      </c>
    </row>
    <row r="19" spans="1:5" x14ac:dyDescent="0.3">
      <c r="A19">
        <v>2008</v>
      </c>
      <c r="B19" s="111">
        <v>62800</v>
      </c>
      <c r="C19" s="110">
        <f>B19*B37</f>
        <v>81800.984463125162</v>
      </c>
      <c r="D19" s="106">
        <v>0.25</v>
      </c>
      <c r="E19" s="110">
        <f t="shared" si="0"/>
        <v>6816.7487052604301</v>
      </c>
    </row>
    <row r="20" spans="1:5" x14ac:dyDescent="0.3">
      <c r="A20">
        <v>2010</v>
      </c>
      <c r="B20" s="110">
        <v>90810</v>
      </c>
      <c r="C20" s="110">
        <f>B20*B39</f>
        <v>109744.10134607357</v>
      </c>
      <c r="D20" s="106">
        <v>0.3</v>
      </c>
      <c r="E20" s="110">
        <f t="shared" si="0"/>
        <v>9145.3417788394636</v>
      </c>
    </row>
    <row r="21" spans="1:5" x14ac:dyDescent="0.3">
      <c r="A21">
        <v>2018</v>
      </c>
      <c r="B21" s="110">
        <v>114890</v>
      </c>
      <c r="C21" s="110">
        <f>B21*B47</f>
        <v>113539.43731408626</v>
      </c>
      <c r="D21" s="106">
        <v>0.3</v>
      </c>
      <c r="E21" s="110">
        <f t="shared" si="0"/>
        <v>9461.6197761738549</v>
      </c>
    </row>
    <row r="22" spans="1:5" x14ac:dyDescent="0.3">
      <c r="A22">
        <v>2019</v>
      </c>
      <c r="B22" s="110">
        <v>115290.01</v>
      </c>
      <c r="C22" s="110">
        <f>B22*B48</f>
        <v>114009.23094645227</v>
      </c>
      <c r="D22" s="106">
        <v>0.3</v>
      </c>
      <c r="E22" s="110">
        <f t="shared" si="0"/>
        <v>9500.7692455376891</v>
      </c>
    </row>
    <row r="23" spans="1:5" x14ac:dyDescent="0.3">
      <c r="A23">
        <v>2020</v>
      </c>
      <c r="B23" s="110">
        <v>115338.01</v>
      </c>
      <c r="C23" s="110">
        <f>B23*B49</f>
        <v>115130.85614602295</v>
      </c>
      <c r="D23" s="106">
        <v>0.3</v>
      </c>
      <c r="E23" s="110">
        <f t="shared" si="0"/>
        <v>9594.2380121685801</v>
      </c>
    </row>
    <row r="24" spans="1:5" x14ac:dyDescent="0.3">
      <c r="A24">
        <v>2023</v>
      </c>
      <c r="B24" s="110">
        <v>105580</v>
      </c>
      <c r="C24" s="110">
        <f>B24*B52</f>
        <v>98331.89248194969</v>
      </c>
      <c r="D24" s="106">
        <v>0.35</v>
      </c>
      <c r="E24" s="110">
        <f t="shared" si="0"/>
        <v>8194.3243734958069</v>
      </c>
    </row>
    <row r="25" spans="1:5" x14ac:dyDescent="0.3">
      <c r="A25">
        <v>2024</v>
      </c>
      <c r="B25" s="110">
        <v>107199</v>
      </c>
      <c r="C25" s="110">
        <f>B25*B53</f>
        <v>99314.206912519061</v>
      </c>
      <c r="D25" s="106">
        <v>0.37</v>
      </c>
      <c r="E25" s="110">
        <f t="shared" si="0"/>
        <v>8276.1839093765884</v>
      </c>
    </row>
    <row r="26" spans="1:5" x14ac:dyDescent="0.3">
      <c r="A26">
        <v>2025</v>
      </c>
      <c r="B26" s="110">
        <v>108810</v>
      </c>
      <c r="C26" s="110">
        <f>B26*B54</f>
        <v>98608.355800799371</v>
      </c>
      <c r="D26" s="106">
        <v>0.37</v>
      </c>
      <c r="E26" s="110">
        <f t="shared" si="0"/>
        <v>8217.3629833999476</v>
      </c>
    </row>
    <row r="28" spans="1:5" x14ac:dyDescent="0.3">
      <c r="A28" t="s">
        <v>1</v>
      </c>
      <c r="B28" t="s">
        <v>152</v>
      </c>
    </row>
    <row r="29" spans="1:5" x14ac:dyDescent="0.3">
      <c r="A29">
        <v>2000</v>
      </c>
      <c r="B29">
        <v>2.2497940925452165</v>
      </c>
    </row>
    <row r="30" spans="1:5" x14ac:dyDescent="0.3">
      <c r="A30">
        <v>2001</v>
      </c>
      <c r="B30">
        <v>1.8374855020596765</v>
      </c>
    </row>
    <row r="31" spans="1:5" x14ac:dyDescent="0.3">
      <c r="A31">
        <v>2002</v>
      </c>
      <c r="B31">
        <v>1.6802823056909819</v>
      </c>
    </row>
    <row r="32" spans="1:5" x14ac:dyDescent="0.3">
      <c r="A32">
        <v>2003</v>
      </c>
      <c r="B32">
        <v>1.5841277255417112</v>
      </c>
    </row>
    <row r="33" spans="1:2" x14ac:dyDescent="0.3">
      <c r="A33">
        <v>2004</v>
      </c>
      <c r="B33">
        <v>1.5538955007344579</v>
      </c>
    </row>
    <row r="34" spans="1:2" x14ac:dyDescent="0.3">
      <c r="A34">
        <v>2005</v>
      </c>
      <c r="B34">
        <v>1.5066730632097469</v>
      </c>
    </row>
    <row r="35" spans="1:2" x14ac:dyDescent="0.3">
      <c r="A35">
        <v>2006</v>
      </c>
      <c r="B35">
        <v>1.4646465726235942</v>
      </c>
    </row>
    <row r="36" spans="1:2" x14ac:dyDescent="0.3">
      <c r="A36">
        <v>2007</v>
      </c>
      <c r="B36">
        <v>1.4175868508422624</v>
      </c>
    </row>
    <row r="37" spans="1:2" x14ac:dyDescent="0.3">
      <c r="A37">
        <v>2008</v>
      </c>
      <c r="B37">
        <v>1.3025634468650504</v>
      </c>
    </row>
    <row r="38" spans="1:2" x14ac:dyDescent="0.3">
      <c r="A38">
        <v>2009</v>
      </c>
      <c r="B38">
        <v>1.2487217655656626</v>
      </c>
    </row>
    <row r="39" spans="1:2" x14ac:dyDescent="0.3">
      <c r="A39">
        <v>2010</v>
      </c>
      <c r="B39">
        <v>1.2085023824036292</v>
      </c>
    </row>
    <row r="40" spans="1:2" x14ac:dyDescent="0.3">
      <c r="A40">
        <v>2011</v>
      </c>
      <c r="B40">
        <v>1.1464846452129049</v>
      </c>
    </row>
    <row r="41" spans="1:2" x14ac:dyDescent="0.3">
      <c r="A41">
        <v>2012</v>
      </c>
      <c r="B41">
        <v>1.100654391242585</v>
      </c>
    </row>
    <row r="42" spans="1:2" x14ac:dyDescent="0.3">
      <c r="A42">
        <v>2013</v>
      </c>
      <c r="B42">
        <v>1.0717144360813022</v>
      </c>
    </row>
    <row r="43" spans="1:2" x14ac:dyDescent="0.3">
      <c r="A43">
        <v>2014</v>
      </c>
      <c r="B43">
        <v>1.0338012513334938</v>
      </c>
    </row>
    <row r="44" spans="1:2" x14ac:dyDescent="0.3">
      <c r="A44">
        <v>2015</v>
      </c>
      <c r="B44">
        <v>1</v>
      </c>
    </row>
    <row r="45" spans="1:2" x14ac:dyDescent="0.3">
      <c r="A45">
        <v>2016</v>
      </c>
      <c r="B45">
        <v>0.9889260902229503</v>
      </c>
    </row>
    <row r="46" spans="1:2" x14ac:dyDescent="0.3">
      <c r="A46">
        <v>2017</v>
      </c>
      <c r="B46">
        <v>0.99087514701856894</v>
      </c>
    </row>
    <row r="47" spans="1:2" x14ac:dyDescent="0.3">
      <c r="A47">
        <v>2018</v>
      </c>
      <c r="B47">
        <v>0.98824473247529165</v>
      </c>
    </row>
    <row r="48" spans="1:2" x14ac:dyDescent="0.3">
      <c r="A48">
        <v>2019</v>
      </c>
      <c r="B48">
        <v>0.98889080629321024</v>
      </c>
    </row>
    <row r="49" spans="1:2" x14ac:dyDescent="0.3">
      <c r="A49">
        <v>2020</v>
      </c>
      <c r="B49">
        <v>0.99820394114674738</v>
      </c>
    </row>
    <row r="50" spans="1:2" x14ac:dyDescent="0.3">
      <c r="A50">
        <v>2021</v>
      </c>
      <c r="B50">
        <v>0.97920080200063364</v>
      </c>
    </row>
    <row r="51" spans="1:2" x14ac:dyDescent="0.3">
      <c r="A51">
        <v>2022</v>
      </c>
      <c r="B51">
        <v>0.94392043385874747</v>
      </c>
    </row>
    <row r="52" spans="1:2" x14ac:dyDescent="0.3">
      <c r="A52">
        <v>2023</v>
      </c>
      <c r="B52">
        <v>0.93134961623365875</v>
      </c>
    </row>
    <row r="53" spans="1:2" x14ac:dyDescent="0.3">
      <c r="A53">
        <v>2024</v>
      </c>
      <c r="B53">
        <v>0.92644713954905422</v>
      </c>
    </row>
    <row r="54" spans="1:2" x14ac:dyDescent="0.3">
      <c r="A54">
        <v>2025</v>
      </c>
      <c r="B54">
        <v>0.90624350519988395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2FEE-D372-426B-B194-0AE8975CD5FB}">
  <dimension ref="A2:G48"/>
  <sheetViews>
    <sheetView topLeftCell="F1" workbookViewId="0">
      <selection activeCell="P9" sqref="P9"/>
    </sheetView>
  </sheetViews>
  <sheetFormatPr baseColWidth="10" defaultRowHeight="14.4" x14ac:dyDescent="0.3"/>
  <sheetData>
    <row r="2" spans="1:7" x14ac:dyDescent="0.3">
      <c r="A2" t="s">
        <v>95</v>
      </c>
    </row>
    <row r="4" spans="1:7" x14ac:dyDescent="0.3">
      <c r="A4" t="s">
        <v>1</v>
      </c>
      <c r="B4" t="s">
        <v>96</v>
      </c>
      <c r="C4" t="s">
        <v>97</v>
      </c>
      <c r="E4" t="s">
        <v>1</v>
      </c>
      <c r="F4" t="s">
        <v>96</v>
      </c>
      <c r="G4" t="s">
        <v>97</v>
      </c>
    </row>
    <row r="5" spans="1:7" x14ac:dyDescent="0.3">
      <c r="A5">
        <v>1980</v>
      </c>
      <c r="B5" s="66">
        <v>0.19500000000000001</v>
      </c>
      <c r="C5" s="66">
        <v>0.54390000000000005</v>
      </c>
      <c r="F5" s="66"/>
      <c r="G5" s="66"/>
    </row>
    <row r="6" spans="1:7" x14ac:dyDescent="0.3">
      <c r="A6">
        <v>1981</v>
      </c>
      <c r="B6" s="66">
        <v>0.19500000000000001</v>
      </c>
      <c r="C6" s="66">
        <v>0.54390000000000005</v>
      </c>
      <c r="E6">
        <v>2001</v>
      </c>
      <c r="F6" s="67">
        <v>0.19500000000000001</v>
      </c>
      <c r="G6" s="67">
        <v>0.54390000000000005</v>
      </c>
    </row>
    <row r="7" spans="1:7" x14ac:dyDescent="0.3">
      <c r="A7">
        <v>1982</v>
      </c>
      <c r="B7" s="66">
        <v>0.19500000000000001</v>
      </c>
      <c r="C7" s="66">
        <v>0.54390000000000005</v>
      </c>
      <c r="E7">
        <v>2003</v>
      </c>
      <c r="F7" s="67">
        <v>0.1983</v>
      </c>
      <c r="G7" s="67">
        <v>0.52650000000000008</v>
      </c>
    </row>
    <row r="8" spans="1:7" x14ac:dyDescent="0.3">
      <c r="A8">
        <v>1983</v>
      </c>
      <c r="B8" s="66">
        <v>0.19500000000000001</v>
      </c>
      <c r="C8" s="66">
        <v>0.54390000000000005</v>
      </c>
      <c r="E8">
        <v>2005</v>
      </c>
      <c r="F8" s="67">
        <v>0.18340000000000001</v>
      </c>
      <c r="G8" s="67">
        <v>0.51070000000000004</v>
      </c>
    </row>
    <row r="9" spans="1:7" x14ac:dyDescent="0.3">
      <c r="A9">
        <v>1984</v>
      </c>
      <c r="B9" s="66">
        <v>0.19500000000000001</v>
      </c>
      <c r="C9" s="66">
        <v>0.54390000000000005</v>
      </c>
      <c r="E9">
        <v>2007</v>
      </c>
      <c r="F9" s="67">
        <v>0.2064</v>
      </c>
      <c r="G9" s="67">
        <v>0.54330000000000001</v>
      </c>
    </row>
    <row r="10" spans="1:7" x14ac:dyDescent="0.3">
      <c r="A10">
        <v>1985</v>
      </c>
      <c r="B10" s="66">
        <v>0.19500000000000001</v>
      </c>
      <c r="C10" s="66">
        <v>0.54390000000000005</v>
      </c>
      <c r="E10">
        <v>2009</v>
      </c>
      <c r="F10" s="67">
        <v>0.1414</v>
      </c>
      <c r="G10" s="67">
        <v>0.48559999999999998</v>
      </c>
    </row>
    <row r="11" spans="1:7" x14ac:dyDescent="0.3">
      <c r="A11">
        <v>1986</v>
      </c>
      <c r="B11" s="66">
        <v>0.19500000000000001</v>
      </c>
      <c r="C11" s="66">
        <v>0.54390000000000005</v>
      </c>
      <c r="E11">
        <v>2011</v>
      </c>
      <c r="F11" s="67">
        <v>0.1313</v>
      </c>
      <c r="G11" s="67">
        <v>0.44640000000000002</v>
      </c>
    </row>
    <row r="12" spans="1:7" x14ac:dyDescent="0.3">
      <c r="A12">
        <v>1987</v>
      </c>
      <c r="B12" s="66">
        <v>0.19500000000000001</v>
      </c>
      <c r="C12" s="66">
        <v>0.54390000000000005</v>
      </c>
      <c r="E12">
        <v>2013</v>
      </c>
      <c r="F12" s="67">
        <v>0.15959999999999999</v>
      </c>
      <c r="G12" s="67">
        <v>0.4546</v>
      </c>
    </row>
    <row r="13" spans="1:7" x14ac:dyDescent="0.3">
      <c r="A13">
        <v>1988</v>
      </c>
      <c r="B13" s="66">
        <v>0.19500000000000001</v>
      </c>
      <c r="C13" s="66">
        <v>0.54390000000000005</v>
      </c>
      <c r="E13">
        <v>2015</v>
      </c>
      <c r="F13" s="67">
        <v>0.12470000000000001</v>
      </c>
      <c r="G13" s="67">
        <v>0.41889999999999999</v>
      </c>
    </row>
    <row r="14" spans="1:7" x14ac:dyDescent="0.3">
      <c r="A14">
        <v>1989</v>
      </c>
      <c r="B14" s="66">
        <v>0.19500000000000001</v>
      </c>
      <c r="C14" s="66">
        <v>0.54390000000000005</v>
      </c>
      <c r="E14">
        <v>2017</v>
      </c>
      <c r="F14" s="67">
        <v>0.13950000000000001</v>
      </c>
      <c r="G14" s="67">
        <v>0.42499999999999999</v>
      </c>
    </row>
    <row r="15" spans="1:7" x14ac:dyDescent="0.3">
      <c r="A15">
        <v>1990</v>
      </c>
      <c r="B15" s="66">
        <v>0.19500000000000001</v>
      </c>
      <c r="C15" s="66">
        <v>0.54390000000000005</v>
      </c>
      <c r="E15">
        <v>2019</v>
      </c>
      <c r="F15" s="67">
        <v>0.1406</v>
      </c>
      <c r="G15" s="67">
        <v>0.44040000000000001</v>
      </c>
    </row>
    <row r="16" spans="1:7" x14ac:dyDescent="0.3">
      <c r="A16">
        <v>1991</v>
      </c>
      <c r="B16" s="66">
        <v>0.19500000000000001</v>
      </c>
      <c r="C16" s="66">
        <v>0.54390000000000005</v>
      </c>
      <c r="E16">
        <v>2021</v>
      </c>
      <c r="F16" s="67">
        <v>0.1658</v>
      </c>
      <c r="G16" s="67">
        <v>0.47510000000000002</v>
      </c>
    </row>
    <row r="17" spans="1:7" x14ac:dyDescent="0.3">
      <c r="A17">
        <v>1992</v>
      </c>
      <c r="B17" s="66">
        <v>0.19500000000000001</v>
      </c>
      <c r="C17" s="66">
        <v>0.54390000000000005</v>
      </c>
      <c r="E17">
        <v>2023</v>
      </c>
      <c r="F17" s="67">
        <v>0.14000000000000001</v>
      </c>
      <c r="G17" s="67">
        <v>0.4521</v>
      </c>
    </row>
    <row r="18" spans="1:7" x14ac:dyDescent="0.3">
      <c r="A18">
        <v>1993</v>
      </c>
      <c r="B18" s="66">
        <v>0.19500000000000001</v>
      </c>
      <c r="C18" s="66">
        <v>0.54390000000000005</v>
      </c>
    </row>
    <row r="19" spans="1:7" x14ac:dyDescent="0.3">
      <c r="A19">
        <v>1994</v>
      </c>
      <c r="B19" s="66">
        <v>0.19500000000000001</v>
      </c>
      <c r="C19" s="66">
        <v>0.54390000000000005</v>
      </c>
      <c r="F19" s="66"/>
      <c r="G19" s="66"/>
    </row>
    <row r="20" spans="1:7" x14ac:dyDescent="0.3">
      <c r="A20">
        <v>1995</v>
      </c>
      <c r="B20" s="66">
        <v>0.19500000000000001</v>
      </c>
      <c r="C20" s="66">
        <v>0.54390000000000005</v>
      </c>
    </row>
    <row r="21" spans="1:7" x14ac:dyDescent="0.3">
      <c r="A21">
        <v>1996</v>
      </c>
      <c r="B21" s="66">
        <v>0.19500000000000001</v>
      </c>
      <c r="C21" s="66">
        <v>0.54390000000000005</v>
      </c>
      <c r="F21" s="66"/>
      <c r="G21" s="66"/>
    </row>
    <row r="22" spans="1:7" x14ac:dyDescent="0.3">
      <c r="A22">
        <v>1997</v>
      </c>
      <c r="B22" s="66">
        <v>0.19500000000000001</v>
      </c>
      <c r="C22" s="66">
        <v>0.54390000000000005</v>
      </c>
    </row>
    <row r="23" spans="1:7" x14ac:dyDescent="0.3">
      <c r="A23">
        <v>1998</v>
      </c>
      <c r="B23" s="66">
        <v>0.19500000000000001</v>
      </c>
      <c r="C23" s="66">
        <v>0.54390000000000005</v>
      </c>
      <c r="F23" s="66"/>
      <c r="G23" s="66"/>
    </row>
    <row r="24" spans="1:7" x14ac:dyDescent="0.3">
      <c r="A24">
        <v>1999</v>
      </c>
      <c r="B24" s="66">
        <v>0.19500000000000001</v>
      </c>
      <c r="C24" s="66">
        <v>0.54390000000000005</v>
      </c>
    </row>
    <row r="25" spans="1:7" x14ac:dyDescent="0.3">
      <c r="A25">
        <v>2000</v>
      </c>
      <c r="B25" s="66">
        <v>0.19500000000000001</v>
      </c>
      <c r="C25" s="66">
        <v>0.54390000000000005</v>
      </c>
      <c r="F25" s="66"/>
      <c r="G25" s="66"/>
    </row>
    <row r="26" spans="1:7" x14ac:dyDescent="0.3">
      <c r="A26">
        <v>2001</v>
      </c>
      <c r="B26" s="66">
        <v>0.19500000000000001</v>
      </c>
      <c r="C26" s="66">
        <v>0.54390000000000005</v>
      </c>
    </row>
    <row r="27" spans="1:7" x14ac:dyDescent="0.3">
      <c r="A27">
        <v>2002</v>
      </c>
      <c r="B27" s="66">
        <v>0.1966</v>
      </c>
      <c r="C27" s="66">
        <v>0.53520000000000001</v>
      </c>
      <c r="F27" s="66"/>
      <c r="G27" s="66"/>
    </row>
    <row r="28" spans="1:7" x14ac:dyDescent="0.3">
      <c r="A28">
        <v>2003</v>
      </c>
      <c r="B28" s="66">
        <v>0.1983</v>
      </c>
      <c r="C28" s="66">
        <v>0.52650000000000008</v>
      </c>
    </row>
    <row r="29" spans="1:7" x14ac:dyDescent="0.3">
      <c r="A29">
        <v>2004</v>
      </c>
      <c r="B29" s="66">
        <v>0.1908</v>
      </c>
      <c r="C29" s="66">
        <v>0.51860000000000006</v>
      </c>
    </row>
    <row r="30" spans="1:7" x14ac:dyDescent="0.3">
      <c r="A30">
        <v>2005</v>
      </c>
      <c r="B30" s="66">
        <v>0.18340000000000001</v>
      </c>
      <c r="C30" s="66">
        <v>0.51070000000000004</v>
      </c>
    </row>
    <row r="31" spans="1:7" x14ac:dyDescent="0.3">
      <c r="A31">
        <v>2006</v>
      </c>
      <c r="B31" s="66">
        <v>0.1593</v>
      </c>
      <c r="C31" s="66">
        <v>0.48659999999999998</v>
      </c>
    </row>
    <row r="32" spans="1:7" x14ac:dyDescent="0.3">
      <c r="A32">
        <v>2007</v>
      </c>
      <c r="B32" s="66">
        <v>0.2064</v>
      </c>
      <c r="C32" s="66">
        <v>0.54330000000000001</v>
      </c>
    </row>
    <row r="33" spans="1:3" x14ac:dyDescent="0.3">
      <c r="A33">
        <v>2008</v>
      </c>
      <c r="B33" s="66">
        <v>0.1457</v>
      </c>
      <c r="C33" s="66">
        <v>0.49809999999999999</v>
      </c>
    </row>
    <row r="34" spans="1:3" x14ac:dyDescent="0.3">
      <c r="A34">
        <v>2009</v>
      </c>
      <c r="B34" s="66">
        <v>0.1414</v>
      </c>
      <c r="C34" s="66">
        <v>0.48559999999999998</v>
      </c>
    </row>
    <row r="35" spans="1:3" x14ac:dyDescent="0.3">
      <c r="A35">
        <v>2010</v>
      </c>
      <c r="B35" s="66">
        <v>0.18049999999999999</v>
      </c>
      <c r="C35" s="66">
        <v>0.50590000000000002</v>
      </c>
    </row>
    <row r="36" spans="1:3" x14ac:dyDescent="0.3">
      <c r="A36">
        <v>2011</v>
      </c>
      <c r="B36" s="66">
        <v>0.1313</v>
      </c>
      <c r="C36" s="66">
        <v>0.44640000000000002</v>
      </c>
    </row>
    <row r="37" spans="1:3" x14ac:dyDescent="0.3">
      <c r="A37">
        <v>2012</v>
      </c>
      <c r="B37" s="66">
        <v>0.20169999999999999</v>
      </c>
      <c r="C37" s="66">
        <v>0.47220000000000001</v>
      </c>
    </row>
    <row r="38" spans="1:3" x14ac:dyDescent="0.3">
      <c r="A38">
        <v>2013</v>
      </c>
      <c r="B38" s="66">
        <v>0.15959999999999999</v>
      </c>
      <c r="C38" s="66">
        <v>0.4546</v>
      </c>
    </row>
    <row r="39" spans="1:3" x14ac:dyDescent="0.3">
      <c r="A39">
        <v>2014</v>
      </c>
      <c r="B39" s="66">
        <v>0.14829999999999999</v>
      </c>
      <c r="C39" s="66">
        <v>0.43990000000000001</v>
      </c>
    </row>
    <row r="40" spans="1:3" x14ac:dyDescent="0.3">
      <c r="A40">
        <v>2015</v>
      </c>
      <c r="B40" s="66">
        <v>0.12470000000000001</v>
      </c>
      <c r="C40" s="66">
        <v>0.41889999999999999</v>
      </c>
    </row>
    <row r="41" spans="1:3" x14ac:dyDescent="0.3">
      <c r="A41">
        <v>2016</v>
      </c>
      <c r="B41" s="66">
        <v>0.123</v>
      </c>
      <c r="C41" s="66">
        <v>0.40749999999999997</v>
      </c>
    </row>
    <row r="42" spans="1:3" x14ac:dyDescent="0.3">
      <c r="A42">
        <v>2017</v>
      </c>
      <c r="B42" s="66">
        <v>0.13950000000000001</v>
      </c>
      <c r="C42" s="66">
        <v>0.42499999999999999</v>
      </c>
    </row>
    <row r="43" spans="1:3" x14ac:dyDescent="0.3">
      <c r="A43">
        <v>2018</v>
      </c>
      <c r="B43" s="66">
        <v>0.1469</v>
      </c>
      <c r="C43" s="66">
        <v>0.4481</v>
      </c>
    </row>
    <row r="44" spans="1:3" x14ac:dyDescent="0.3">
      <c r="A44">
        <v>2019</v>
      </c>
      <c r="B44" s="66">
        <v>0.1406</v>
      </c>
      <c r="C44" s="66">
        <v>0.44040000000000001</v>
      </c>
    </row>
    <row r="45" spans="1:3" x14ac:dyDescent="0.3">
      <c r="A45">
        <v>2020</v>
      </c>
      <c r="B45" s="66">
        <v>0.19639999999999999</v>
      </c>
      <c r="C45" s="66">
        <v>0.48659999999999998</v>
      </c>
    </row>
    <row r="46" spans="1:3" x14ac:dyDescent="0.3">
      <c r="A46">
        <v>2021</v>
      </c>
      <c r="B46" s="66">
        <v>0.1658</v>
      </c>
      <c r="C46" s="66">
        <v>0.47510000000000002</v>
      </c>
    </row>
    <row r="47" spans="1:3" x14ac:dyDescent="0.3">
      <c r="A47">
        <v>2022</v>
      </c>
      <c r="B47" s="66">
        <v>0.14000000000000001</v>
      </c>
      <c r="C47" s="66">
        <v>0.4521</v>
      </c>
    </row>
    <row r="48" spans="1:3" x14ac:dyDescent="0.3">
      <c r="A48">
        <v>2023</v>
      </c>
      <c r="B48" s="66">
        <v>0.14000000000000001</v>
      </c>
      <c r="C48" s="66">
        <v>0.4521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76D2-25B3-408B-9067-3340D3B7A7D3}">
  <dimension ref="A1:M7"/>
  <sheetViews>
    <sheetView topLeftCell="D13" workbookViewId="0">
      <selection activeCell="B11" sqref="B11"/>
    </sheetView>
  </sheetViews>
  <sheetFormatPr baseColWidth="10" defaultRowHeight="14.4" x14ac:dyDescent="0.3"/>
  <sheetData>
    <row r="1" spans="1:13" x14ac:dyDescent="0.3">
      <c r="A1" t="s">
        <v>99</v>
      </c>
    </row>
    <row r="2" spans="1:13" x14ac:dyDescent="0.3">
      <c r="A2" t="s">
        <v>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7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8</v>
      </c>
    </row>
    <row r="3" spans="1:13" x14ac:dyDescent="0.3">
      <c r="A3">
        <v>2001</v>
      </c>
      <c r="B3" s="66">
        <v>0.19839999999999999</v>
      </c>
      <c r="C3" s="66">
        <v>0.1444</v>
      </c>
      <c r="D3" s="66">
        <v>0.2215</v>
      </c>
      <c r="E3" s="66">
        <v>0.25319999999999998</v>
      </c>
      <c r="F3" s="66">
        <v>0.246</v>
      </c>
      <c r="G3" s="66">
        <v>0.19500000000000001</v>
      </c>
      <c r="H3" s="66">
        <v>0.19839999999999999</v>
      </c>
      <c r="I3" s="66">
        <v>0.28160000000000002</v>
      </c>
      <c r="J3" s="66">
        <v>0.17299999999999999</v>
      </c>
      <c r="K3" s="66">
        <v>0.1169</v>
      </c>
      <c r="L3" s="66">
        <v>0.2026</v>
      </c>
      <c r="M3" s="66">
        <v>0.19109999999999999</v>
      </c>
    </row>
    <row r="4" spans="1:13" x14ac:dyDescent="0.3">
      <c r="A4">
        <v>2005</v>
      </c>
      <c r="B4" s="66">
        <v>0.193</v>
      </c>
      <c r="C4" s="66">
        <v>0.1177</v>
      </c>
      <c r="D4" s="66">
        <v>0.22939999999999999</v>
      </c>
      <c r="E4" s="66">
        <v>0.26619999999999999</v>
      </c>
      <c r="F4" s="66">
        <v>0.22470000000000001</v>
      </c>
      <c r="G4" s="66">
        <v>0.18340000000000001</v>
      </c>
      <c r="H4" s="66">
        <v>0.193</v>
      </c>
      <c r="I4" s="66">
        <v>0.2157</v>
      </c>
      <c r="J4" s="66">
        <v>0.1449</v>
      </c>
      <c r="K4" s="66">
        <v>0.16089999999999999</v>
      </c>
      <c r="L4" s="66">
        <v>0.2026</v>
      </c>
      <c r="M4" s="66">
        <v>0.20330000000000001</v>
      </c>
    </row>
    <row r="5" spans="1:13" x14ac:dyDescent="0.3">
      <c r="A5">
        <v>2011</v>
      </c>
      <c r="B5" s="66">
        <v>0.19819999999999999</v>
      </c>
      <c r="C5" s="66">
        <v>0.1164</v>
      </c>
      <c r="D5" s="66">
        <v>0.24690000000000001</v>
      </c>
      <c r="E5" s="66">
        <v>0.26729999999999998</v>
      </c>
      <c r="F5" s="66">
        <v>0.24129999999999999</v>
      </c>
      <c r="G5" s="66">
        <v>0.1313</v>
      </c>
      <c r="H5" s="66">
        <v>0.19819999999999999</v>
      </c>
      <c r="I5" s="66">
        <v>0.2329</v>
      </c>
      <c r="J5" s="66">
        <v>0.15310000000000001</v>
      </c>
      <c r="K5" s="66">
        <v>0.26340000000000002</v>
      </c>
      <c r="L5" s="66">
        <v>0.18379999999999999</v>
      </c>
      <c r="M5" s="66">
        <v>0.22819999999999999</v>
      </c>
    </row>
    <row r="6" spans="1:13" x14ac:dyDescent="0.3">
      <c r="A6">
        <v>2015</v>
      </c>
      <c r="B6" s="66">
        <v>0.19420000000000001</v>
      </c>
      <c r="C6" s="66">
        <v>0.14069999999999999</v>
      </c>
      <c r="D6" s="66">
        <v>0.22770000000000001</v>
      </c>
      <c r="E6" s="66">
        <v>0.26540000000000002</v>
      </c>
      <c r="F6" s="66">
        <v>0.189</v>
      </c>
      <c r="G6" s="66">
        <v>0.12470000000000001</v>
      </c>
      <c r="H6" s="66">
        <v>0.19420000000000001</v>
      </c>
      <c r="I6" s="66">
        <v>0.22889999999999999</v>
      </c>
      <c r="J6" s="66">
        <v>0.1431</v>
      </c>
      <c r="K6" s="66">
        <v>0.2681</v>
      </c>
      <c r="L6" s="66">
        <v>0.16450000000000001</v>
      </c>
      <c r="M6" s="66">
        <v>0.21929999999999999</v>
      </c>
    </row>
    <row r="7" spans="1:13" x14ac:dyDescent="0.3">
      <c r="A7">
        <v>2023</v>
      </c>
      <c r="B7" s="67">
        <v>0.1787</v>
      </c>
      <c r="C7" s="67">
        <v>0.1236</v>
      </c>
      <c r="D7" s="67">
        <v>0.21129999999999999</v>
      </c>
      <c r="E7" s="67">
        <v>0.22040000000000001</v>
      </c>
      <c r="F7" s="67">
        <v>0.1794</v>
      </c>
      <c r="G7" s="67">
        <v>0.14000000000000001</v>
      </c>
      <c r="H7" s="67">
        <v>0.1787</v>
      </c>
      <c r="I7" s="67">
        <v>0.26900000000000002</v>
      </c>
      <c r="J7" s="67">
        <v>0.14779999999999999</v>
      </c>
      <c r="K7" s="67">
        <v>0.21579999999999999</v>
      </c>
      <c r="L7" s="67">
        <v>0.1817</v>
      </c>
      <c r="M7" s="67">
        <v>0.20180000000000001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9B40-DE64-417F-8B7C-1C15EC7EB92B}">
  <dimension ref="A1:G47"/>
  <sheetViews>
    <sheetView topLeftCell="E1" workbookViewId="0">
      <selection activeCell="N12" sqref="N12"/>
    </sheetView>
  </sheetViews>
  <sheetFormatPr baseColWidth="10" defaultRowHeight="14.4" x14ac:dyDescent="0.3"/>
  <sheetData>
    <row r="1" spans="1:7" x14ac:dyDescent="0.3">
      <c r="A1" t="s">
        <v>98</v>
      </c>
    </row>
    <row r="3" spans="1:7" x14ac:dyDescent="0.3">
      <c r="A3" t="s">
        <v>1</v>
      </c>
      <c r="B3" t="s">
        <v>96</v>
      </c>
      <c r="C3" t="s">
        <v>97</v>
      </c>
      <c r="E3" t="s">
        <v>1</v>
      </c>
      <c r="F3" t="s">
        <v>96</v>
      </c>
      <c r="G3" t="s">
        <v>97</v>
      </c>
    </row>
    <row r="4" spans="1:7" x14ac:dyDescent="0.3">
      <c r="A4">
        <v>1980</v>
      </c>
      <c r="B4" s="67">
        <v>0.30449999999999999</v>
      </c>
      <c r="C4" s="67">
        <v>0.64419999999999999</v>
      </c>
      <c r="E4">
        <v>2001</v>
      </c>
      <c r="F4" s="67">
        <v>0.30459999999999998</v>
      </c>
      <c r="G4" s="67">
        <v>0.64419999999999999</v>
      </c>
    </row>
    <row r="5" spans="1:7" x14ac:dyDescent="0.3">
      <c r="A5">
        <v>1981</v>
      </c>
      <c r="B5" s="67">
        <v>0.30470000000000003</v>
      </c>
      <c r="C5" s="67">
        <v>0.64440000000000008</v>
      </c>
      <c r="E5">
        <v>2003</v>
      </c>
      <c r="F5" s="67">
        <v>0.2893</v>
      </c>
      <c r="G5" s="67">
        <v>0.63090000000000002</v>
      </c>
    </row>
    <row r="6" spans="1:7" x14ac:dyDescent="0.3">
      <c r="A6">
        <v>1982</v>
      </c>
      <c r="B6" s="67">
        <v>0.30480000000000002</v>
      </c>
      <c r="C6" s="67">
        <v>0.64450000000000007</v>
      </c>
      <c r="E6">
        <v>2005</v>
      </c>
      <c r="F6" s="67">
        <v>0.27850000000000003</v>
      </c>
      <c r="G6" s="67">
        <v>0.62130000000000007</v>
      </c>
    </row>
    <row r="7" spans="1:7" x14ac:dyDescent="0.3">
      <c r="A7">
        <v>1983</v>
      </c>
      <c r="B7" s="67">
        <v>0.30449999999999999</v>
      </c>
      <c r="C7" s="67">
        <v>0.64410000000000001</v>
      </c>
      <c r="E7">
        <v>2007</v>
      </c>
      <c r="F7" s="67">
        <v>0.30399999999999999</v>
      </c>
      <c r="G7" s="67">
        <v>0.64380000000000004</v>
      </c>
    </row>
    <row r="8" spans="1:7" x14ac:dyDescent="0.3">
      <c r="A8">
        <v>1984</v>
      </c>
      <c r="B8" s="67">
        <v>0.30480000000000002</v>
      </c>
      <c r="C8" s="67">
        <v>0.64440000000000008</v>
      </c>
      <c r="E8">
        <v>2009</v>
      </c>
      <c r="F8" s="67">
        <v>0.26119999999999999</v>
      </c>
      <c r="G8" s="67">
        <v>0.60550000000000004</v>
      </c>
    </row>
    <row r="9" spans="1:7" x14ac:dyDescent="0.3">
      <c r="A9">
        <v>1985</v>
      </c>
      <c r="B9" s="67">
        <v>0.30480000000000002</v>
      </c>
      <c r="C9" s="67">
        <v>0.64440000000000008</v>
      </c>
      <c r="E9">
        <v>2011</v>
      </c>
      <c r="F9" s="67">
        <v>0.2445</v>
      </c>
      <c r="G9" s="67">
        <v>0.58960000000000001</v>
      </c>
    </row>
    <row r="10" spans="1:7" x14ac:dyDescent="0.3">
      <c r="A10">
        <v>1986</v>
      </c>
      <c r="B10" s="67">
        <v>0.30449999999999999</v>
      </c>
      <c r="C10" s="67">
        <v>0.64419999999999999</v>
      </c>
      <c r="E10">
        <v>2013</v>
      </c>
      <c r="F10" s="67">
        <v>0.2467</v>
      </c>
      <c r="G10" s="67">
        <v>0.59179999999999999</v>
      </c>
    </row>
    <row r="11" spans="1:7" x14ac:dyDescent="0.3">
      <c r="A11">
        <v>1987</v>
      </c>
      <c r="B11" s="67">
        <v>0.3044</v>
      </c>
      <c r="C11" s="67">
        <v>0.64410000000000001</v>
      </c>
      <c r="E11">
        <v>2015</v>
      </c>
      <c r="F11" s="67">
        <v>0.23799999999999999</v>
      </c>
      <c r="G11" s="67">
        <v>0.58310000000000006</v>
      </c>
    </row>
    <row r="12" spans="1:7" x14ac:dyDescent="0.3">
      <c r="A12">
        <v>1988</v>
      </c>
      <c r="B12" s="67">
        <v>0.30470000000000003</v>
      </c>
      <c r="C12" s="67">
        <v>0.64429999999999998</v>
      </c>
      <c r="E12">
        <v>2017</v>
      </c>
      <c r="F12" s="67">
        <v>0.23930000000000001</v>
      </c>
      <c r="G12" s="67">
        <v>0.58450000000000002</v>
      </c>
    </row>
    <row r="13" spans="1:7" x14ac:dyDescent="0.3">
      <c r="A13">
        <v>1989</v>
      </c>
      <c r="B13" s="67">
        <v>0.30459999999999998</v>
      </c>
      <c r="C13" s="67">
        <v>0.64429999999999998</v>
      </c>
      <c r="E13">
        <v>2019</v>
      </c>
      <c r="F13" s="67">
        <v>0.2432</v>
      </c>
      <c r="G13" s="67">
        <v>0.58830000000000005</v>
      </c>
    </row>
    <row r="14" spans="1:7" x14ac:dyDescent="0.3">
      <c r="A14">
        <v>1990</v>
      </c>
      <c r="B14" s="67">
        <v>0.30459999999999998</v>
      </c>
      <c r="C14" s="67">
        <v>0.64429999999999998</v>
      </c>
      <c r="E14">
        <v>2021</v>
      </c>
      <c r="F14" s="67">
        <v>0.25530000000000003</v>
      </c>
      <c r="G14" s="67">
        <v>0.6</v>
      </c>
    </row>
    <row r="15" spans="1:7" x14ac:dyDescent="0.3">
      <c r="A15">
        <v>1991</v>
      </c>
      <c r="B15" s="67">
        <v>0.30449999999999999</v>
      </c>
      <c r="C15" s="67">
        <v>0.64419999999999999</v>
      </c>
      <c r="E15">
        <v>2023</v>
      </c>
      <c r="F15" s="67">
        <v>0.24590000000000001</v>
      </c>
      <c r="G15" s="67">
        <v>0.59100000000000008</v>
      </c>
    </row>
    <row r="16" spans="1:7" x14ac:dyDescent="0.3">
      <c r="A16">
        <v>1992</v>
      </c>
      <c r="B16" s="67">
        <v>0.30470000000000003</v>
      </c>
      <c r="C16" s="67">
        <v>0.64440000000000008</v>
      </c>
    </row>
    <row r="17" spans="1:3" x14ac:dyDescent="0.3">
      <c r="A17">
        <v>1993</v>
      </c>
      <c r="B17" s="67">
        <v>0.30459999999999998</v>
      </c>
      <c r="C17" s="67">
        <v>0.64429999999999998</v>
      </c>
    </row>
    <row r="18" spans="1:3" x14ac:dyDescent="0.3">
      <c r="A18">
        <v>1994</v>
      </c>
      <c r="B18" s="67">
        <v>0.3044</v>
      </c>
      <c r="C18" s="67">
        <v>0.64410000000000001</v>
      </c>
    </row>
    <row r="19" spans="1:3" x14ac:dyDescent="0.3">
      <c r="A19">
        <v>1995</v>
      </c>
      <c r="B19" s="67">
        <v>0.3044</v>
      </c>
      <c r="C19" s="67">
        <v>0.64410000000000001</v>
      </c>
    </row>
    <row r="20" spans="1:3" x14ac:dyDescent="0.3">
      <c r="A20">
        <v>1996</v>
      </c>
      <c r="B20" s="67">
        <v>0.31590000000000001</v>
      </c>
      <c r="C20" s="67">
        <v>0.65010000000000001</v>
      </c>
    </row>
    <row r="21" spans="1:3" x14ac:dyDescent="0.3">
      <c r="A21">
        <v>1997</v>
      </c>
      <c r="B21" s="67">
        <v>0.31630000000000003</v>
      </c>
      <c r="C21" s="67">
        <v>0.65029999999999999</v>
      </c>
    </row>
    <row r="22" spans="1:3" x14ac:dyDescent="0.3">
      <c r="A22">
        <v>1998</v>
      </c>
      <c r="B22" s="67">
        <v>0.3044</v>
      </c>
      <c r="C22" s="67">
        <v>0.64410000000000001</v>
      </c>
    </row>
    <row r="23" spans="1:3" x14ac:dyDescent="0.3">
      <c r="A23">
        <v>1999</v>
      </c>
      <c r="B23" s="67">
        <v>0.31180000000000002</v>
      </c>
      <c r="C23" s="67">
        <v>0.64790000000000003</v>
      </c>
    </row>
    <row r="24" spans="1:3" x14ac:dyDescent="0.3">
      <c r="A24">
        <v>2000</v>
      </c>
      <c r="B24" s="67">
        <v>0.30459999999999998</v>
      </c>
      <c r="C24" s="67">
        <v>0.64419999999999999</v>
      </c>
    </row>
    <row r="25" spans="1:3" x14ac:dyDescent="0.3">
      <c r="A25">
        <v>2001</v>
      </c>
      <c r="B25" s="67">
        <v>0.30459999999999998</v>
      </c>
      <c r="C25" s="67">
        <v>0.64419999999999999</v>
      </c>
    </row>
    <row r="26" spans="1:3" x14ac:dyDescent="0.3">
      <c r="A26">
        <v>2002</v>
      </c>
      <c r="B26" s="67">
        <v>0.29559999999999997</v>
      </c>
      <c r="C26" s="67">
        <v>0.63640000000000008</v>
      </c>
    </row>
    <row r="27" spans="1:3" x14ac:dyDescent="0.3">
      <c r="A27">
        <v>2003</v>
      </c>
      <c r="B27" s="67">
        <v>0.2893</v>
      </c>
      <c r="C27" s="67">
        <v>0.63090000000000002</v>
      </c>
    </row>
    <row r="28" spans="1:3" x14ac:dyDescent="0.3">
      <c r="A28">
        <v>2004</v>
      </c>
      <c r="B28" s="67">
        <v>0.2838</v>
      </c>
      <c r="C28" s="67">
        <v>0.626</v>
      </c>
    </row>
    <row r="29" spans="1:3" x14ac:dyDescent="0.3">
      <c r="A29">
        <v>2005</v>
      </c>
      <c r="B29" s="67">
        <v>0.27850000000000003</v>
      </c>
      <c r="C29" s="67">
        <v>0.62130000000000007</v>
      </c>
    </row>
    <row r="30" spans="1:3" x14ac:dyDescent="0.3">
      <c r="A30">
        <v>2006</v>
      </c>
      <c r="B30" s="67">
        <v>0.26240000000000002</v>
      </c>
      <c r="C30" s="67">
        <v>0.60660000000000003</v>
      </c>
    </row>
    <row r="31" spans="1:3" x14ac:dyDescent="0.3">
      <c r="A31">
        <v>2007</v>
      </c>
      <c r="B31" s="67">
        <v>0.30399999999999999</v>
      </c>
      <c r="C31" s="67">
        <v>0.64380000000000004</v>
      </c>
    </row>
    <row r="32" spans="1:3" x14ac:dyDescent="0.3">
      <c r="A32">
        <v>2008</v>
      </c>
      <c r="B32" s="67">
        <v>0.26979999999999998</v>
      </c>
      <c r="C32" s="67">
        <v>0.61340000000000006</v>
      </c>
    </row>
    <row r="33" spans="1:3" x14ac:dyDescent="0.3">
      <c r="A33">
        <v>2009</v>
      </c>
      <c r="B33" s="67">
        <v>0.26119999999999999</v>
      </c>
      <c r="C33" s="67">
        <v>0.60550000000000004</v>
      </c>
    </row>
    <row r="34" spans="1:3" x14ac:dyDescent="0.3">
      <c r="A34">
        <v>2010</v>
      </c>
      <c r="B34" s="67">
        <v>0.2747</v>
      </c>
      <c r="C34" s="67">
        <v>0.6179</v>
      </c>
    </row>
    <row r="35" spans="1:3" x14ac:dyDescent="0.3">
      <c r="A35">
        <v>2011</v>
      </c>
      <c r="B35" s="67">
        <v>0.2445</v>
      </c>
      <c r="C35" s="67">
        <v>0.58960000000000001</v>
      </c>
    </row>
    <row r="36" spans="1:3" x14ac:dyDescent="0.3">
      <c r="A36">
        <v>2012</v>
      </c>
      <c r="B36" s="67">
        <v>0.25419999999999998</v>
      </c>
      <c r="C36" s="67">
        <v>0.59899999999999998</v>
      </c>
    </row>
    <row r="37" spans="1:3" x14ac:dyDescent="0.3">
      <c r="A37">
        <v>2013</v>
      </c>
      <c r="B37" s="67">
        <v>0.2467</v>
      </c>
      <c r="C37" s="67">
        <v>0.59179999999999999</v>
      </c>
    </row>
    <row r="38" spans="1:3" x14ac:dyDescent="0.3">
      <c r="A38">
        <v>2014</v>
      </c>
      <c r="B38" s="67">
        <v>0.24299999999999999</v>
      </c>
      <c r="C38" s="67">
        <v>0.58820000000000006</v>
      </c>
    </row>
    <row r="39" spans="1:3" x14ac:dyDescent="0.3">
      <c r="A39">
        <v>2015</v>
      </c>
      <c r="B39" s="67">
        <v>0.23799999999999999</v>
      </c>
      <c r="C39" s="67">
        <v>0.58310000000000006</v>
      </c>
    </row>
    <row r="40" spans="1:3" x14ac:dyDescent="0.3">
      <c r="A40">
        <v>2016</v>
      </c>
      <c r="B40" s="67">
        <v>0.23649999999999999</v>
      </c>
      <c r="C40" s="67">
        <v>0.58160000000000001</v>
      </c>
    </row>
    <row r="41" spans="1:3" x14ac:dyDescent="0.3">
      <c r="A41">
        <v>2017</v>
      </c>
      <c r="B41" s="67">
        <v>0.23930000000000001</v>
      </c>
      <c r="C41" s="67">
        <v>0.58450000000000002</v>
      </c>
    </row>
    <row r="42" spans="1:3" x14ac:dyDescent="0.3">
      <c r="A42">
        <v>2018</v>
      </c>
      <c r="B42" s="67">
        <v>0.24490000000000001</v>
      </c>
      <c r="C42" s="67">
        <v>0.59000000000000008</v>
      </c>
    </row>
    <row r="43" spans="1:3" x14ac:dyDescent="0.3">
      <c r="A43">
        <v>2019</v>
      </c>
      <c r="B43" s="67">
        <v>0.2432</v>
      </c>
      <c r="C43" s="67">
        <v>0.58830000000000005</v>
      </c>
    </row>
    <row r="44" spans="1:3" x14ac:dyDescent="0.3">
      <c r="A44">
        <v>2020</v>
      </c>
      <c r="B44" s="67">
        <v>0.26240000000000002</v>
      </c>
      <c r="C44" s="67">
        <v>0.60660000000000003</v>
      </c>
    </row>
    <row r="45" spans="1:3" x14ac:dyDescent="0.3">
      <c r="A45">
        <v>2021</v>
      </c>
      <c r="B45" s="67">
        <v>0.25530000000000003</v>
      </c>
      <c r="C45" s="67">
        <v>0.6</v>
      </c>
    </row>
    <row r="46" spans="1:3" x14ac:dyDescent="0.3">
      <c r="A46">
        <v>2022</v>
      </c>
      <c r="B46" s="67">
        <v>0.24590000000000001</v>
      </c>
      <c r="C46" s="67">
        <v>0.59100000000000008</v>
      </c>
    </row>
    <row r="47" spans="1:3" x14ac:dyDescent="0.3">
      <c r="A47">
        <v>2023</v>
      </c>
      <c r="B47" s="67">
        <v>0.24590000000000001</v>
      </c>
      <c r="C47" s="67">
        <v>0.59100000000000008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F72E-CE11-4563-83A1-9F8B8DF802E7}">
  <dimension ref="A1:M6"/>
  <sheetViews>
    <sheetView topLeftCell="D1" workbookViewId="0">
      <selection activeCell="C12" sqref="C12"/>
    </sheetView>
  </sheetViews>
  <sheetFormatPr baseColWidth="10" defaultRowHeight="14.4" x14ac:dyDescent="0.3"/>
  <sheetData>
    <row r="1" spans="1:13" x14ac:dyDescent="0.3">
      <c r="A1" t="s">
        <v>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7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8</v>
      </c>
    </row>
    <row r="2" spans="1:13" x14ac:dyDescent="0.3">
      <c r="A2">
        <v>2001</v>
      </c>
      <c r="B2" s="43">
        <v>0.3473</v>
      </c>
      <c r="C2" s="43">
        <v>0.27850000000000003</v>
      </c>
      <c r="D2" s="43">
        <v>0.36630000000000001</v>
      </c>
      <c r="E2" s="43">
        <v>0.38340000000000002</v>
      </c>
      <c r="F2" s="43">
        <v>0.3896</v>
      </c>
      <c r="G2" s="43">
        <v>0.30459999999999998</v>
      </c>
      <c r="H2" s="43">
        <v>0.34749999999999998</v>
      </c>
      <c r="I2" s="43">
        <v>0.38700000000000001</v>
      </c>
      <c r="J2" s="43">
        <v>0.40810000000000002</v>
      </c>
      <c r="K2" s="43">
        <v>0.31140000000000001</v>
      </c>
      <c r="L2" s="43">
        <v>0.29670000000000002</v>
      </c>
      <c r="M2" s="43">
        <v>0.34320000000000001</v>
      </c>
    </row>
    <row r="3" spans="1:13" x14ac:dyDescent="0.3">
      <c r="A3">
        <v>2005</v>
      </c>
      <c r="B3" s="43">
        <v>0.3306</v>
      </c>
      <c r="C3" s="43">
        <v>0.2457</v>
      </c>
      <c r="D3" s="43">
        <v>0.37619999999999998</v>
      </c>
      <c r="E3" s="43">
        <v>0.38690000000000002</v>
      </c>
      <c r="F3" s="43">
        <v>0.38450000000000001</v>
      </c>
      <c r="G3" s="43">
        <v>0.27850000000000003</v>
      </c>
      <c r="H3" s="43">
        <v>0.33040000000000003</v>
      </c>
      <c r="I3" s="43">
        <v>0.36809999999999998</v>
      </c>
      <c r="J3" s="43">
        <v>0.39119999999999999</v>
      </c>
      <c r="K3" s="43">
        <v>0.37309999999999999</v>
      </c>
      <c r="L3" s="43">
        <v>0.29720000000000002</v>
      </c>
      <c r="M3" s="43">
        <v>0.35930000000000001</v>
      </c>
    </row>
    <row r="4" spans="1:13" x14ac:dyDescent="0.3">
      <c r="A4">
        <v>2011</v>
      </c>
      <c r="B4" s="43">
        <v>0.30199999999999999</v>
      </c>
      <c r="C4" s="43">
        <v>0.2397</v>
      </c>
      <c r="D4" s="43">
        <v>0.37630000000000002</v>
      </c>
      <c r="E4" s="43">
        <v>0.4027</v>
      </c>
      <c r="F4" s="43">
        <v>0.38090000000000002</v>
      </c>
      <c r="G4" s="43">
        <v>0.2445</v>
      </c>
      <c r="H4" s="43">
        <v>0.30199999999999999</v>
      </c>
      <c r="I4" s="43">
        <v>0.35010000000000002</v>
      </c>
      <c r="J4" s="43">
        <v>0.4012</v>
      </c>
      <c r="K4" s="43">
        <v>0.39610000000000001</v>
      </c>
      <c r="L4" s="43">
        <v>0.29670000000000002</v>
      </c>
      <c r="M4" s="43">
        <v>0.35520000000000002</v>
      </c>
    </row>
    <row r="5" spans="1:13" x14ac:dyDescent="0.3">
      <c r="A5">
        <v>2015</v>
      </c>
      <c r="B5" s="43">
        <v>0.2928</v>
      </c>
      <c r="C5" s="43">
        <v>0.24110000000000001</v>
      </c>
      <c r="D5" s="43">
        <v>0.37469999999999998</v>
      </c>
      <c r="E5" s="43">
        <v>0.39369999999999999</v>
      </c>
      <c r="F5" s="43">
        <v>0.3498</v>
      </c>
      <c r="G5" s="43">
        <v>0.23799999999999999</v>
      </c>
      <c r="H5" s="43">
        <v>0.2928</v>
      </c>
      <c r="I5" s="43">
        <v>0.35299999999999998</v>
      </c>
      <c r="J5" s="43">
        <v>0.39200000000000002</v>
      </c>
      <c r="K5" s="43">
        <v>0.40239999999999998</v>
      </c>
      <c r="L5" s="43">
        <v>0.30549999999999999</v>
      </c>
      <c r="M5" s="43">
        <v>0.3533</v>
      </c>
    </row>
    <row r="6" spans="1:13" x14ac:dyDescent="0.3">
      <c r="A6">
        <v>2023</v>
      </c>
      <c r="B6" s="43">
        <v>0.28349999999999997</v>
      </c>
      <c r="C6" s="43">
        <v>0.24179999999999999</v>
      </c>
      <c r="D6" s="43">
        <v>0.37019999999999997</v>
      </c>
      <c r="E6" s="43">
        <v>0.36559999999999998</v>
      </c>
      <c r="F6" s="43">
        <v>0.37930000000000003</v>
      </c>
      <c r="G6" s="43">
        <v>0.24590000000000001</v>
      </c>
      <c r="H6" s="43">
        <v>0.2833</v>
      </c>
      <c r="I6" s="43">
        <v>0.36009999999999998</v>
      </c>
      <c r="J6" s="43">
        <v>0.40139999999999998</v>
      </c>
      <c r="K6" s="43">
        <v>0.37969999999999998</v>
      </c>
      <c r="L6" s="43">
        <v>0.27710000000000001</v>
      </c>
      <c r="M6" s="43">
        <v>0.34660000000000002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3ACD-5CEF-4369-BA6D-C8FDE4AD463A}">
  <dimension ref="A1:F15"/>
  <sheetViews>
    <sheetView topLeftCell="E1" workbookViewId="0">
      <selection activeCell="O6" sqref="O6"/>
    </sheetView>
  </sheetViews>
  <sheetFormatPr baseColWidth="10" defaultRowHeight="14.4" x14ac:dyDescent="0.3"/>
  <sheetData>
    <row r="1" spans="1:6" x14ac:dyDescent="0.3">
      <c r="A1" t="s">
        <v>82</v>
      </c>
    </row>
    <row r="2" spans="1:6" x14ac:dyDescent="0.3">
      <c r="A2" t="s">
        <v>1</v>
      </c>
      <c r="B2" t="s">
        <v>8</v>
      </c>
      <c r="C2" t="s">
        <v>7</v>
      </c>
      <c r="D2" t="s">
        <v>64</v>
      </c>
      <c r="E2" t="s">
        <v>66</v>
      </c>
      <c r="F2" t="s">
        <v>68</v>
      </c>
    </row>
    <row r="3" spans="1:6" x14ac:dyDescent="0.3">
      <c r="A3" t="s">
        <v>83</v>
      </c>
      <c r="B3" s="19">
        <v>17.79999923706055</v>
      </c>
      <c r="C3" s="19">
        <v>16.60000038146973</v>
      </c>
      <c r="D3" s="19">
        <v>21.20000076293945</v>
      </c>
      <c r="F3" s="19">
        <v>15.69999980926514</v>
      </c>
    </row>
    <row r="4" spans="1:6" x14ac:dyDescent="0.3">
      <c r="A4" t="s">
        <v>84</v>
      </c>
      <c r="B4" s="19">
        <v>17.39999961853027</v>
      </c>
      <c r="C4" s="19">
        <v>19.79999923706055</v>
      </c>
      <c r="D4" s="19">
        <v>19.29999923706055</v>
      </c>
      <c r="E4" s="19">
        <v>18.70000076293945</v>
      </c>
      <c r="F4" s="19">
        <v>18.39999961853027</v>
      </c>
    </row>
    <row r="5" spans="1:6" x14ac:dyDescent="0.3">
      <c r="A5" t="s">
        <v>85</v>
      </c>
      <c r="B5" s="19">
        <v>16.79999923706055</v>
      </c>
      <c r="C5" s="19">
        <v>15.19999980926514</v>
      </c>
      <c r="D5" s="19">
        <v>18.10000038146973</v>
      </c>
      <c r="E5" s="19">
        <v>18.70000076293945</v>
      </c>
      <c r="F5" s="19">
        <v>16</v>
      </c>
    </row>
    <row r="6" spans="1:6" x14ac:dyDescent="0.3">
      <c r="A6" t="s">
        <v>86</v>
      </c>
      <c r="B6" s="19">
        <v>15</v>
      </c>
      <c r="C6" s="19">
        <v>16</v>
      </c>
      <c r="D6" s="19">
        <v>17.29999923706055</v>
      </c>
      <c r="F6" s="19">
        <v>16</v>
      </c>
    </row>
    <row r="7" spans="1:6" x14ac:dyDescent="0.3">
      <c r="A7" t="s">
        <v>87</v>
      </c>
      <c r="B7" s="19">
        <v>13.30000019073486</v>
      </c>
      <c r="C7" s="19">
        <v>12.5</v>
      </c>
      <c r="D7" s="19">
        <v>16.29999923706055</v>
      </c>
      <c r="E7" s="19">
        <v>19.39999961853027</v>
      </c>
      <c r="F7" s="19">
        <v>13.30000019073486</v>
      </c>
    </row>
    <row r="8" spans="1:6" x14ac:dyDescent="0.3">
      <c r="A8" t="s">
        <v>88</v>
      </c>
      <c r="B8" s="19">
        <v>12.80000019073486</v>
      </c>
      <c r="C8" s="19">
        <v>10.60000038146973</v>
      </c>
      <c r="D8" s="19">
        <v>16</v>
      </c>
      <c r="E8" s="19">
        <v>18</v>
      </c>
      <c r="F8" s="19">
        <v>11.30000019073486</v>
      </c>
    </row>
    <row r="9" spans="1:6" x14ac:dyDescent="0.3">
      <c r="A9" t="s">
        <v>89</v>
      </c>
      <c r="B9" s="19">
        <v>12.30000019073486</v>
      </c>
      <c r="C9" s="19">
        <v>10.80000019073486</v>
      </c>
      <c r="D9" s="19">
        <v>15.39999961853027</v>
      </c>
      <c r="E9" s="19">
        <v>17.79999923706055</v>
      </c>
      <c r="F9" s="19">
        <v>10.69999980926514</v>
      </c>
    </row>
    <row r="10" spans="1:6" x14ac:dyDescent="0.3">
      <c r="A10" t="s">
        <v>90</v>
      </c>
      <c r="B10" s="19">
        <v>11.39999961853027</v>
      </c>
      <c r="C10" s="19">
        <v>10.5</v>
      </c>
      <c r="D10" s="19">
        <v>14.39999961853027</v>
      </c>
      <c r="E10" s="19">
        <v>16.10000038146973</v>
      </c>
      <c r="F10" s="19">
        <v>10.10000038146973</v>
      </c>
    </row>
    <row r="11" spans="1:6" x14ac:dyDescent="0.3">
      <c r="A11" t="s">
        <v>91</v>
      </c>
      <c r="B11" s="19">
        <v>11.30000019073486</v>
      </c>
      <c r="C11" s="19">
        <v>9.8000001907348633</v>
      </c>
      <c r="D11" s="19">
        <v>16.5</v>
      </c>
      <c r="E11" s="19">
        <v>14.80000019073486</v>
      </c>
      <c r="F11" s="19">
        <v>10.10000038146973</v>
      </c>
    </row>
    <row r="12" spans="1:6" x14ac:dyDescent="0.3">
      <c r="A12" t="s">
        <v>92</v>
      </c>
      <c r="B12" s="19">
        <v>11.19999980926514</v>
      </c>
      <c r="C12" s="19">
        <v>10.30000019073486</v>
      </c>
      <c r="D12" s="19">
        <v>17</v>
      </c>
      <c r="E12" s="19">
        <v>16.20000076293945</v>
      </c>
      <c r="F12" s="19">
        <v>9.1999998092651367</v>
      </c>
    </row>
    <row r="13" spans="1:6" x14ac:dyDescent="0.3">
      <c r="A13" t="s">
        <v>93</v>
      </c>
      <c r="B13" s="19">
        <v>11.39999961853027</v>
      </c>
      <c r="C13" s="19">
        <v>10.60000038146973</v>
      </c>
      <c r="D13" s="19">
        <v>17.10000038146973</v>
      </c>
      <c r="E13" s="19">
        <v>15.89999961853027</v>
      </c>
      <c r="F13" s="19">
        <v>8.8000001907348633</v>
      </c>
    </row>
    <row r="14" spans="1:6" x14ac:dyDescent="0.3">
      <c r="A14" t="s">
        <v>94</v>
      </c>
      <c r="B14" s="19">
        <v>10.69999980926514</v>
      </c>
      <c r="C14" s="19">
        <v>9.3999996185302734</v>
      </c>
      <c r="D14" s="19">
        <v>14.80000019073486</v>
      </c>
      <c r="E14" s="19">
        <v>19.79999923706055</v>
      </c>
      <c r="F14" s="19">
        <v>8.5</v>
      </c>
    </row>
    <row r="15" spans="1:6" x14ac:dyDescent="0.3">
      <c r="A15" s="65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C27F-7E39-46A8-BED0-01438BC8406A}">
  <dimension ref="A1:G22"/>
  <sheetViews>
    <sheetView workbookViewId="0">
      <selection activeCell="K5" sqref="K5"/>
    </sheetView>
  </sheetViews>
  <sheetFormatPr baseColWidth="10" defaultRowHeight="14.4" x14ac:dyDescent="0.3"/>
  <cols>
    <col min="1" max="1" width="15.44140625" customWidth="1"/>
    <col min="2" max="2" width="11.6640625" customWidth="1"/>
    <col min="6" max="6" width="12" customWidth="1"/>
  </cols>
  <sheetData>
    <row r="1" spans="1:7" x14ac:dyDescent="0.3">
      <c r="A1" s="23"/>
      <c r="B1" s="128" t="s">
        <v>32</v>
      </c>
      <c r="C1" s="128"/>
      <c r="D1" s="128"/>
      <c r="E1" s="24"/>
      <c r="F1" s="24"/>
      <c r="G1" s="24"/>
    </row>
    <row r="2" spans="1:7" ht="43.2" x14ac:dyDescent="0.3">
      <c r="A2" s="12" t="s">
        <v>41</v>
      </c>
      <c r="B2" s="12" t="s">
        <v>33</v>
      </c>
      <c r="C2" s="12" t="s">
        <v>34</v>
      </c>
      <c r="D2" s="12" t="s">
        <v>35</v>
      </c>
      <c r="E2" s="12" t="s">
        <v>11</v>
      </c>
      <c r="F2" s="12" t="s">
        <v>12</v>
      </c>
      <c r="G2" s="12" t="s">
        <v>13</v>
      </c>
    </row>
    <row r="3" spans="1:7" x14ac:dyDescent="0.3">
      <c r="A3" s="26" t="s">
        <v>38</v>
      </c>
      <c r="B3" s="12"/>
      <c r="C3" s="12"/>
      <c r="D3" s="12"/>
      <c r="E3" s="12"/>
      <c r="F3" s="12"/>
      <c r="G3" s="12"/>
    </row>
    <row r="4" spans="1:7" x14ac:dyDescent="0.3">
      <c r="A4" s="13" t="s">
        <v>14</v>
      </c>
      <c r="B4" s="14">
        <v>5.5190000000000001</v>
      </c>
      <c r="C4" s="14">
        <v>18.21</v>
      </c>
      <c r="D4" s="14">
        <v>18.87</v>
      </c>
      <c r="E4" s="14">
        <v>30.463999999999999</v>
      </c>
      <c r="F4" s="15">
        <v>0.14149999999999999</v>
      </c>
      <c r="G4" s="15">
        <v>0.1278</v>
      </c>
    </row>
    <row r="5" spans="1:7" x14ac:dyDescent="0.3">
      <c r="A5" s="13" t="s">
        <v>4</v>
      </c>
      <c r="B5" s="14">
        <v>5.5129999999999999</v>
      </c>
      <c r="C5" s="14">
        <v>17.7</v>
      </c>
      <c r="D5" s="14">
        <v>18.97</v>
      </c>
      <c r="E5" s="14">
        <v>28.826000000000001</v>
      </c>
      <c r="F5" s="15">
        <v>0.1908</v>
      </c>
      <c r="G5" s="15">
        <v>5.2400000000000002E-2</v>
      </c>
    </row>
    <row r="6" spans="1:7" x14ac:dyDescent="0.3">
      <c r="A6" s="25" t="s">
        <v>39</v>
      </c>
      <c r="B6" s="14"/>
      <c r="C6" s="14"/>
      <c r="D6" s="14"/>
      <c r="E6" s="14"/>
      <c r="F6" s="15"/>
      <c r="G6" s="15"/>
    </row>
    <row r="7" spans="1:7" x14ac:dyDescent="0.3">
      <c r="A7" s="13" t="s">
        <v>15</v>
      </c>
      <c r="B7" s="14">
        <v>5.3819999999999997</v>
      </c>
      <c r="C7" s="14">
        <v>17.989999999999998</v>
      </c>
      <c r="D7" s="14">
        <v>16.45</v>
      </c>
      <c r="E7" s="14">
        <v>25.41</v>
      </c>
      <c r="F7" s="15">
        <v>0.3422</v>
      </c>
      <c r="G7" s="15">
        <v>3.8300000000000001E-2</v>
      </c>
    </row>
    <row r="8" spans="1:7" x14ac:dyDescent="0.3">
      <c r="A8" s="13" t="s">
        <v>16</v>
      </c>
      <c r="B8" s="14">
        <v>5.53</v>
      </c>
      <c r="C8" s="14">
        <v>18.02</v>
      </c>
      <c r="D8" s="14">
        <v>19.100000000000001</v>
      </c>
      <c r="E8" s="14">
        <v>30.2806</v>
      </c>
      <c r="F8" s="15">
        <v>0.1434</v>
      </c>
      <c r="G8" s="15">
        <v>0.107</v>
      </c>
    </row>
    <row r="9" spans="1:7" s="29" customFormat="1" x14ac:dyDescent="0.3">
      <c r="A9" s="25" t="s">
        <v>40</v>
      </c>
      <c r="B9" s="27"/>
      <c r="C9" s="27"/>
      <c r="D9" s="27"/>
      <c r="E9" s="27"/>
      <c r="F9" s="28"/>
      <c r="G9" s="28"/>
    </row>
    <row r="10" spans="1:7" x14ac:dyDescent="0.3">
      <c r="A10" s="13" t="s">
        <v>17</v>
      </c>
      <c r="B10" s="14">
        <v>5.6440000000000001</v>
      </c>
      <c r="C10" s="14">
        <v>16.917000000000002</v>
      </c>
      <c r="D10" s="14">
        <v>17.895</v>
      </c>
      <c r="E10" s="14">
        <v>25.191600000000001</v>
      </c>
      <c r="F10" s="15">
        <v>0.1893</v>
      </c>
      <c r="G10" s="15">
        <v>2.4119999999999999E-2</v>
      </c>
    </row>
    <row r="11" spans="1:7" x14ac:dyDescent="0.3">
      <c r="A11" s="13" t="s">
        <v>18</v>
      </c>
      <c r="B11" s="14">
        <v>5.3209999999999997</v>
      </c>
      <c r="C11" s="14">
        <v>19.574999999999999</v>
      </c>
      <c r="D11" s="14">
        <v>19.774000000000001</v>
      </c>
      <c r="E11" s="14">
        <v>28.917000000000002</v>
      </c>
      <c r="F11" s="15">
        <v>0.1782</v>
      </c>
      <c r="G11" s="15">
        <v>3.7699999999999997E-2</v>
      </c>
    </row>
    <row r="12" spans="1:7" x14ac:dyDescent="0.3">
      <c r="A12" s="13" t="s">
        <v>19</v>
      </c>
      <c r="B12" s="14">
        <v>5.2690000000000001</v>
      </c>
      <c r="C12" s="14">
        <v>17.591000000000001</v>
      </c>
      <c r="D12" s="14">
        <v>18.515000000000001</v>
      </c>
      <c r="E12" s="14">
        <v>28.178000000000001</v>
      </c>
      <c r="F12" s="15">
        <v>0.1774</v>
      </c>
      <c r="G12" s="15">
        <v>5.2159999999999998E-2</v>
      </c>
    </row>
    <row r="13" spans="1:7" x14ac:dyDescent="0.3">
      <c r="A13" s="13" t="s">
        <v>20</v>
      </c>
      <c r="B13" s="14">
        <v>5.99</v>
      </c>
      <c r="C13" s="14">
        <v>17.231000000000002</v>
      </c>
      <c r="D13" s="14">
        <v>16.975000000000001</v>
      </c>
      <c r="E13" s="14">
        <v>29.795000000000002</v>
      </c>
      <c r="F13" s="15">
        <v>0.15090000000000001</v>
      </c>
      <c r="G13" s="15">
        <v>0.10768999999999999</v>
      </c>
    </row>
    <row r="14" spans="1:7" x14ac:dyDescent="0.3">
      <c r="A14" s="13" t="s">
        <v>21</v>
      </c>
      <c r="B14" s="14">
        <v>5.4530000000000003</v>
      </c>
      <c r="C14" s="14">
        <v>18.751000000000001</v>
      </c>
      <c r="D14" s="14">
        <v>21.463999999999999</v>
      </c>
      <c r="E14" s="14">
        <v>35.847999999999999</v>
      </c>
      <c r="F14" s="15">
        <v>0.1111</v>
      </c>
      <c r="G14" s="15">
        <v>0.2772</v>
      </c>
    </row>
    <row r="15" spans="1:7" x14ac:dyDescent="0.3">
      <c r="A15" s="25" t="s">
        <v>42</v>
      </c>
      <c r="B15" s="14"/>
      <c r="C15" s="14"/>
      <c r="D15" s="14"/>
      <c r="E15" s="14"/>
      <c r="F15" s="15"/>
      <c r="G15" s="15"/>
    </row>
    <row r="16" spans="1:7" x14ac:dyDescent="0.3">
      <c r="A16" s="13" t="s">
        <v>36</v>
      </c>
      <c r="B16" s="14">
        <v>4.6985000000000001</v>
      </c>
      <c r="C16" s="14">
        <v>15.901300000000001</v>
      </c>
      <c r="D16" s="14">
        <v>17.559100000000001</v>
      </c>
      <c r="E16" s="14">
        <v>29.224</v>
      </c>
      <c r="F16" s="15">
        <v>0.17702899999999999</v>
      </c>
      <c r="G16" s="15">
        <v>8.6639300000000002E-2</v>
      </c>
    </row>
    <row r="17" spans="1:7" x14ac:dyDescent="0.3">
      <c r="A17" s="13" t="s">
        <v>37</v>
      </c>
      <c r="B17" s="14">
        <v>6.3639999999999999</v>
      </c>
      <c r="C17" s="14">
        <v>20.063500000000001</v>
      </c>
      <c r="D17" s="14">
        <v>20.2028</v>
      </c>
      <c r="E17" s="14">
        <v>30.597999999999999</v>
      </c>
      <c r="F17" s="15">
        <v>0.1419028</v>
      </c>
      <c r="G17" s="15">
        <v>0.1133521</v>
      </c>
    </row>
    <row r="18" spans="1:7" x14ac:dyDescent="0.3">
      <c r="A18" s="25" t="s">
        <v>43</v>
      </c>
      <c r="B18" s="14"/>
      <c r="C18" s="14"/>
      <c r="D18" s="14"/>
      <c r="E18" s="14"/>
      <c r="F18" s="15"/>
      <c r="G18" s="15"/>
    </row>
    <row r="19" spans="1:7" x14ac:dyDescent="0.3">
      <c r="A19" s="13" t="s">
        <v>22</v>
      </c>
      <c r="B19" s="14">
        <v>5.2969999999999997</v>
      </c>
      <c r="C19" s="14">
        <v>18.074999999999999</v>
      </c>
      <c r="D19" s="14">
        <v>17.829000000000001</v>
      </c>
      <c r="E19" s="14">
        <v>27.937200000000001</v>
      </c>
      <c r="F19" s="15">
        <v>0.114</v>
      </c>
      <c r="G19" s="15">
        <v>8.4900000000000003E-2</v>
      </c>
    </row>
    <row r="20" spans="1:7" x14ac:dyDescent="0.3">
      <c r="A20" s="13" t="s">
        <v>23</v>
      </c>
      <c r="B20" s="14">
        <v>5.9459999999999997</v>
      </c>
      <c r="C20" s="14">
        <v>18.178000000000001</v>
      </c>
      <c r="D20" s="14">
        <v>20.858000000000001</v>
      </c>
      <c r="E20" s="14">
        <v>32.982300000000002</v>
      </c>
      <c r="F20" s="15">
        <v>0.21929999999999999</v>
      </c>
      <c r="G20" s="15">
        <v>0.13070000000000001</v>
      </c>
    </row>
    <row r="21" spans="1:7" x14ac:dyDescent="0.3">
      <c r="A21" s="13" t="s">
        <v>24</v>
      </c>
      <c r="B21" s="14">
        <v>4.8929999999999998</v>
      </c>
      <c r="C21" s="14">
        <v>16.483000000000001</v>
      </c>
      <c r="D21" s="14">
        <v>16.378</v>
      </c>
      <c r="E21" s="14">
        <v>27.004000000000001</v>
      </c>
      <c r="F21" s="15">
        <v>0.1663</v>
      </c>
      <c r="G21" s="15">
        <v>6.3299999999999995E-2</v>
      </c>
    </row>
    <row r="22" spans="1:7" x14ac:dyDescent="0.3">
      <c r="A22" s="25" t="s">
        <v>25</v>
      </c>
      <c r="B22" s="16">
        <v>5.5170000000000003</v>
      </c>
      <c r="C22" s="16">
        <v>18.013000000000002</v>
      </c>
      <c r="D22" s="16">
        <v>18.905899999999999</v>
      </c>
      <c r="E22" s="16">
        <v>29.883700000000001</v>
      </c>
      <c r="F22" s="17">
        <v>0.15970000000000001</v>
      </c>
      <c r="G22" s="17">
        <v>0.1007</v>
      </c>
    </row>
  </sheetData>
  <mergeCells count="1">
    <mergeCell ref="B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5751-B448-4CC0-98AC-FAAE7D2D79BA}">
  <dimension ref="A1:J63"/>
  <sheetViews>
    <sheetView topLeftCell="A8" workbookViewId="0">
      <selection activeCell="F13" sqref="F13:F14"/>
    </sheetView>
  </sheetViews>
  <sheetFormatPr baseColWidth="10" defaultRowHeight="14.4" x14ac:dyDescent="0.3"/>
  <cols>
    <col min="6" max="6" width="19.33203125" customWidth="1"/>
  </cols>
  <sheetData>
    <row r="1" spans="1:10" x14ac:dyDescent="0.3">
      <c r="A1" s="129" t="s">
        <v>106</v>
      </c>
      <c r="B1" s="129"/>
      <c r="C1" s="129"/>
    </row>
    <row r="2" spans="1:10" x14ac:dyDescent="0.3">
      <c r="A2" s="52" t="s">
        <v>1</v>
      </c>
      <c r="B2" s="52">
        <v>1970</v>
      </c>
      <c r="C2" s="52">
        <v>1981</v>
      </c>
      <c r="E2" t="s">
        <v>53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</row>
    <row r="3" spans="1:10" x14ac:dyDescent="0.3">
      <c r="A3" s="68" t="s">
        <v>112</v>
      </c>
      <c r="B3" s="69">
        <v>5542</v>
      </c>
      <c r="C3" s="69">
        <v>11243</v>
      </c>
      <c r="E3" t="s">
        <v>113</v>
      </c>
      <c r="F3" s="70">
        <f>C3-B3</f>
        <v>5701</v>
      </c>
      <c r="G3" s="70">
        <f>(B3/(B3+B9))*(C3-B3+C9-B9-C8+B8)</f>
        <v>5737.0518666286689</v>
      </c>
      <c r="H3" s="70">
        <f>((C3/(C3+C9))-(B3/(B3+B9)))*(C3+C9)</f>
        <v>-1095.0176688515251</v>
      </c>
      <c r="I3" s="70">
        <f>(B3/(B3+B9))*(C8-B8)</f>
        <v>1058.9658022228555</v>
      </c>
      <c r="J3" s="70">
        <f>I3+H3+G3</f>
        <v>5700.9999999999991</v>
      </c>
    </row>
    <row r="4" spans="1:10" ht="28.8" x14ac:dyDescent="0.3">
      <c r="A4" s="68" t="s">
        <v>114</v>
      </c>
      <c r="B4" s="69">
        <v>3951</v>
      </c>
      <c r="C4" s="69">
        <v>7706</v>
      </c>
      <c r="E4" t="s">
        <v>115</v>
      </c>
      <c r="F4" s="70"/>
      <c r="G4" s="70"/>
    </row>
    <row r="5" spans="1:10" ht="28.8" x14ac:dyDescent="0.3">
      <c r="A5" s="68" t="s">
        <v>116</v>
      </c>
      <c r="B5" s="69">
        <v>1835</v>
      </c>
      <c r="C5" s="69">
        <v>4175</v>
      </c>
      <c r="E5" t="s">
        <v>117</v>
      </c>
      <c r="F5" s="37">
        <f>F3/$F$3</f>
        <v>1</v>
      </c>
      <c r="G5" s="37">
        <f>G3/$F$3</f>
        <v>1.0063237794472319</v>
      </c>
      <c r="H5" s="37">
        <f>H3/$F$3</f>
        <v>-0.19207466564664533</v>
      </c>
      <c r="I5" s="37">
        <f>I3/$F$3</f>
        <v>0.18575088619941335</v>
      </c>
    </row>
    <row r="6" spans="1:10" ht="28.8" x14ac:dyDescent="0.3">
      <c r="A6" s="68" t="s">
        <v>118</v>
      </c>
      <c r="B6" s="69">
        <v>620</v>
      </c>
      <c r="C6" s="69">
        <v>1900</v>
      </c>
    </row>
    <row r="7" spans="1:10" ht="28.8" x14ac:dyDescent="0.3">
      <c r="A7" s="68" t="s">
        <v>119</v>
      </c>
      <c r="B7" s="69">
        <v>-18</v>
      </c>
      <c r="C7" s="69">
        <v>-128</v>
      </c>
    </row>
    <row r="8" spans="1:10" ht="28.8" x14ac:dyDescent="0.3">
      <c r="A8" s="68" t="s">
        <v>120</v>
      </c>
      <c r="B8" s="69">
        <v>630</v>
      </c>
      <c r="C8" s="69">
        <v>1971</v>
      </c>
    </row>
    <row r="9" spans="1:10" ht="28.8" x14ac:dyDescent="0.3">
      <c r="A9" s="68" t="s">
        <v>121</v>
      </c>
      <c r="B9" s="69">
        <v>1476</v>
      </c>
      <c r="C9" s="69">
        <v>4381</v>
      </c>
    </row>
    <row r="10" spans="1:10" x14ac:dyDescent="0.3">
      <c r="A10" s="52" t="s">
        <v>1</v>
      </c>
      <c r="B10" s="52">
        <v>1982</v>
      </c>
      <c r="C10" s="52">
        <v>1989</v>
      </c>
      <c r="F10" s="70"/>
    </row>
    <row r="11" spans="1:10" x14ac:dyDescent="0.3">
      <c r="A11" s="68" t="s">
        <v>112</v>
      </c>
      <c r="B11" s="69">
        <v>11179</v>
      </c>
      <c r="C11" s="69">
        <v>12976</v>
      </c>
      <c r="E11" t="s">
        <v>122</v>
      </c>
      <c r="F11" s="70">
        <f>C11-B11</f>
        <v>1797</v>
      </c>
      <c r="G11" s="71">
        <f>((B11/(B11+B17))*(C11-B11+C17-B17-C16+B16))</f>
        <v>-39.197054698457222</v>
      </c>
      <c r="H11" s="70">
        <f>((C11/(C11+C17))-(B11/(B11+B17)))*(C11+C17)</f>
        <v>1061.5207191125846</v>
      </c>
      <c r="I11" s="70">
        <f>(B11/(B11+B17))*(C16-B16)</f>
        <v>774.67633558587272</v>
      </c>
      <c r="J11" s="70">
        <f>I11+H11+G11</f>
        <v>1797.0000000000002</v>
      </c>
    </row>
    <row r="12" spans="1:10" ht="28.8" x14ac:dyDescent="0.3">
      <c r="A12" s="68" t="s">
        <v>114</v>
      </c>
      <c r="B12" s="69">
        <v>7788</v>
      </c>
      <c r="C12" s="72">
        <v>8158</v>
      </c>
      <c r="E12" t="s">
        <v>117</v>
      </c>
      <c r="F12" s="37">
        <f>F11/$F$11</f>
        <v>1</v>
      </c>
      <c r="G12" s="37">
        <f>G11/$F$11</f>
        <v>-2.1812495658573856E-2</v>
      </c>
      <c r="H12" s="37">
        <f>H11/$F$11</f>
        <v>0.59071826327912336</v>
      </c>
      <c r="I12" s="37">
        <f>I11/$F$11</f>
        <v>0.4310942323794506</v>
      </c>
    </row>
    <row r="13" spans="1:10" ht="28.8" x14ac:dyDescent="0.3">
      <c r="A13" s="68" t="s">
        <v>116</v>
      </c>
      <c r="B13" s="69">
        <v>4188</v>
      </c>
      <c r="C13" s="72">
        <v>3344</v>
      </c>
    </row>
    <row r="14" spans="1:10" ht="28.8" x14ac:dyDescent="0.3">
      <c r="A14" s="68" t="s">
        <v>118</v>
      </c>
      <c r="B14" s="69">
        <v>1944</v>
      </c>
      <c r="C14" s="72">
        <v>1815</v>
      </c>
    </row>
    <row r="15" spans="1:10" ht="28.8" x14ac:dyDescent="0.3">
      <c r="A15" s="68" t="s">
        <v>119</v>
      </c>
      <c r="B15" s="69">
        <v>-149</v>
      </c>
      <c r="C15" s="72">
        <v>399</v>
      </c>
    </row>
    <row r="16" spans="1:10" ht="28.8" x14ac:dyDescent="0.3">
      <c r="A16" s="68" t="s">
        <v>120</v>
      </c>
      <c r="B16" s="69">
        <v>1915</v>
      </c>
      <c r="C16" s="72">
        <v>3002</v>
      </c>
    </row>
    <row r="17" spans="1:10" ht="28.8" x14ac:dyDescent="0.3">
      <c r="A17" s="68" t="s">
        <v>121</v>
      </c>
      <c r="B17" s="69">
        <v>4507</v>
      </c>
      <c r="C17" s="72">
        <v>3742</v>
      </c>
    </row>
    <row r="18" spans="1:10" x14ac:dyDescent="0.3">
      <c r="A18" s="52" t="s">
        <v>1</v>
      </c>
      <c r="B18" s="52">
        <v>1990</v>
      </c>
      <c r="C18" s="52">
        <v>1999</v>
      </c>
      <c r="D18" s="73"/>
      <c r="E18" s="74"/>
      <c r="F18" s="70"/>
      <c r="G18" s="74"/>
    </row>
    <row r="19" spans="1:10" x14ac:dyDescent="0.3">
      <c r="A19" s="68" t="s">
        <v>112</v>
      </c>
      <c r="B19" s="69">
        <v>13324</v>
      </c>
      <c r="C19" s="75">
        <v>15499.239</v>
      </c>
      <c r="D19" s="73"/>
      <c r="E19" s="74" t="s">
        <v>123</v>
      </c>
      <c r="F19" s="70">
        <f>C19-B19</f>
        <v>2175.2389999999996</v>
      </c>
      <c r="G19" s="71">
        <f>((B19/(B19+B25))*(C19-B19+C25-B25-C24+B24))</f>
        <v>40.167274944307643</v>
      </c>
      <c r="H19" s="70">
        <f>((C19/(C19+C25))-(B19/(B19+B25)))*(C19+C25)</f>
        <v>61.141681439793814</v>
      </c>
      <c r="I19" s="70">
        <f>(B19/(B19+B25))*(C24-B24)</f>
        <v>2073.9300436158983</v>
      </c>
      <c r="J19" s="70">
        <f>I19+H19+G19</f>
        <v>2175.239</v>
      </c>
    </row>
    <row r="20" spans="1:10" ht="28.8" x14ac:dyDescent="0.3">
      <c r="A20" s="68" t="s">
        <v>114</v>
      </c>
      <c r="B20" s="72">
        <v>8380</v>
      </c>
      <c r="C20" s="75">
        <v>9822.1939999999995</v>
      </c>
      <c r="D20" s="73"/>
      <c r="E20" s="74" t="s">
        <v>117</v>
      </c>
      <c r="F20" s="76">
        <f>F19/$F$19</f>
        <v>1</v>
      </c>
      <c r="G20" s="76">
        <f>G19/$F$19</f>
        <v>1.846568351537815E-2</v>
      </c>
      <c r="H20" s="76">
        <f>H19/$F$19</f>
        <v>2.8108029250943838E-2</v>
      </c>
      <c r="I20" s="76">
        <f>I19/$F$19</f>
        <v>0.95342628723367806</v>
      </c>
    </row>
    <row r="21" spans="1:10" ht="28.8" x14ac:dyDescent="0.3">
      <c r="A21" s="68" t="s">
        <v>116</v>
      </c>
      <c r="B21" s="72">
        <v>3121</v>
      </c>
      <c r="C21" s="75">
        <v>2913.2759999999998</v>
      </c>
      <c r="D21" s="73"/>
      <c r="E21" s="74"/>
      <c r="F21" s="74"/>
      <c r="G21" s="74"/>
    </row>
    <row r="22" spans="1:10" ht="28.8" x14ac:dyDescent="0.3">
      <c r="A22" s="68" t="s">
        <v>118</v>
      </c>
      <c r="B22" s="72">
        <v>1822</v>
      </c>
      <c r="C22" s="75">
        <v>1493.2470000000001</v>
      </c>
      <c r="D22" s="73"/>
      <c r="E22" s="74"/>
      <c r="F22" s="74"/>
      <c r="G22" s="74"/>
    </row>
    <row r="23" spans="1:10" ht="28.8" x14ac:dyDescent="0.3">
      <c r="A23" s="68" t="s">
        <v>119</v>
      </c>
      <c r="B23" s="72">
        <v>425</v>
      </c>
      <c r="C23" s="75">
        <v>-429.29300000000001</v>
      </c>
      <c r="D23" s="73"/>
      <c r="E23" s="74"/>
      <c r="F23" s="74"/>
      <c r="G23" s="74"/>
    </row>
    <row r="24" spans="1:10" ht="28.8" x14ac:dyDescent="0.3">
      <c r="A24" s="68" t="s">
        <v>120</v>
      </c>
      <c r="B24" s="72">
        <v>3310</v>
      </c>
      <c r="C24" s="75">
        <v>5965.1409999999996</v>
      </c>
      <c r="D24" s="73"/>
      <c r="E24" s="74"/>
      <c r="F24" s="74"/>
      <c r="G24" s="74"/>
    </row>
    <row r="25" spans="1:10" ht="28.8" x14ac:dyDescent="0.3">
      <c r="A25" s="68" t="s">
        <v>121</v>
      </c>
      <c r="B25" s="72">
        <v>3734</v>
      </c>
      <c r="C25" s="75">
        <v>4265.326</v>
      </c>
      <c r="D25" s="73"/>
      <c r="E25" s="74"/>
      <c r="F25" s="74"/>
      <c r="G25" s="74"/>
    </row>
    <row r="26" spans="1:10" x14ac:dyDescent="0.3">
      <c r="A26" s="52" t="s">
        <v>1</v>
      </c>
      <c r="B26" s="52">
        <v>2000</v>
      </c>
      <c r="C26" s="52">
        <v>2006</v>
      </c>
      <c r="D26" s="73"/>
      <c r="E26" s="74"/>
      <c r="F26" s="70"/>
      <c r="G26" s="74"/>
    </row>
    <row r="27" spans="1:10" x14ac:dyDescent="0.3">
      <c r="A27" s="68" t="s">
        <v>112</v>
      </c>
      <c r="B27" s="77">
        <v>15933666</v>
      </c>
      <c r="C27" s="78">
        <v>21553301</v>
      </c>
      <c r="D27" s="73"/>
      <c r="E27" s="74" t="s">
        <v>124</v>
      </c>
      <c r="F27" s="70">
        <f>C27-B27</f>
        <v>5619635</v>
      </c>
      <c r="G27" s="71">
        <f>((B27/(B27+B33))*(C27-B27+C33-B33-C32+B32))</f>
        <v>6416925.8179136766</v>
      </c>
      <c r="H27" s="70">
        <f>((C27/(C27+C33))-(B27/(B27+B33)))*(C27+C33)</f>
        <v>-9545435.6319112983</v>
      </c>
      <c r="I27" s="70">
        <f>(B27/(B27+B33))*(C32-B32)</f>
        <v>8748144.8139976207</v>
      </c>
      <c r="J27" s="70">
        <f>I27+H27+G27</f>
        <v>5619634.9999999991</v>
      </c>
    </row>
    <row r="28" spans="1:10" ht="28.8" x14ac:dyDescent="0.3">
      <c r="A28" s="68" t="s">
        <v>114</v>
      </c>
      <c r="B28" s="75">
        <v>10198.657999999999</v>
      </c>
      <c r="C28" s="78">
        <v>14477487</v>
      </c>
      <c r="D28" s="73"/>
      <c r="E28" s="74" t="s">
        <v>117</v>
      </c>
      <c r="F28" s="76">
        <f>F27/$F$27</f>
        <v>1</v>
      </c>
      <c r="G28" s="76">
        <f>G27/$F$27</f>
        <v>1.1418759079395151</v>
      </c>
      <c r="H28" s="76">
        <f>H27/$F$27</f>
        <v>-1.6985864085321019</v>
      </c>
      <c r="I28" s="76">
        <f>I27/$F$27</f>
        <v>1.5567105005925868</v>
      </c>
      <c r="J28" s="37">
        <f>G28+H28+I28</f>
        <v>1</v>
      </c>
    </row>
    <row r="29" spans="1:10" ht="28.8" x14ac:dyDescent="0.3">
      <c r="A29" s="68" t="s">
        <v>116</v>
      </c>
      <c r="B29" s="75">
        <v>3264.681</v>
      </c>
      <c r="C29" s="78">
        <v>5779551</v>
      </c>
      <c r="D29" s="73"/>
      <c r="E29" s="74"/>
      <c r="F29" s="74"/>
      <c r="G29" s="74"/>
    </row>
    <row r="30" spans="1:10" ht="28.8" x14ac:dyDescent="0.3">
      <c r="A30" s="68" t="s">
        <v>118</v>
      </c>
      <c r="B30" s="75">
        <v>1563.5540000000001</v>
      </c>
      <c r="C30" s="78">
        <v>1826718</v>
      </c>
      <c r="D30" s="73"/>
      <c r="E30" s="74"/>
      <c r="F30" s="74"/>
      <c r="G30" s="74"/>
    </row>
    <row r="31" spans="1:10" ht="28.8" x14ac:dyDescent="0.3">
      <c r="A31" s="44" t="s">
        <v>119</v>
      </c>
      <c r="B31" s="79">
        <v>-60.036000000000001</v>
      </c>
      <c r="C31" s="80">
        <v>267858</v>
      </c>
      <c r="D31" s="81"/>
      <c r="E31" s="82"/>
      <c r="F31" s="82"/>
      <c r="G31" s="82"/>
      <c r="H31" s="83"/>
      <c r="I31" s="83"/>
      <c r="J31" s="83"/>
    </row>
    <row r="32" spans="1:10" ht="28.8" x14ac:dyDescent="0.3">
      <c r="A32" s="68" t="s">
        <v>120</v>
      </c>
      <c r="B32" s="75">
        <v>5905.61</v>
      </c>
      <c r="C32" s="78">
        <v>8756762</v>
      </c>
      <c r="D32" s="73"/>
      <c r="E32" s="74"/>
      <c r="F32" s="74"/>
      <c r="G32" s="74"/>
    </row>
    <row r="33" spans="1:10" ht="28.8" x14ac:dyDescent="0.3">
      <c r="A33" s="68" t="s">
        <v>121</v>
      </c>
      <c r="B33" s="75">
        <v>4938.8010000000004</v>
      </c>
      <c r="C33" s="78">
        <v>9555075</v>
      </c>
      <c r="D33" s="73"/>
      <c r="E33" s="74"/>
      <c r="F33" s="74"/>
      <c r="G33" s="74"/>
    </row>
    <row r="35" spans="1:10" x14ac:dyDescent="0.3">
      <c r="A35" s="52" t="s">
        <v>1</v>
      </c>
      <c r="B35" s="52">
        <v>2007</v>
      </c>
      <c r="C35" s="84">
        <v>2017</v>
      </c>
      <c r="D35" s="73"/>
      <c r="E35" s="74"/>
      <c r="F35" s="70"/>
      <c r="G35" s="74"/>
    </row>
    <row r="36" spans="1:10" x14ac:dyDescent="0.3">
      <c r="A36" s="68" t="s">
        <v>112</v>
      </c>
      <c r="B36" s="78">
        <v>22090180</v>
      </c>
      <c r="C36" s="78">
        <v>35750824.993707739</v>
      </c>
      <c r="D36" s="73"/>
      <c r="E36" s="74" t="s">
        <v>125</v>
      </c>
      <c r="F36" s="70">
        <f>C36-B36</f>
        <v>13660644.993707739</v>
      </c>
      <c r="G36">
        <f>((B36/(B36+B42))*(C36-B36+C42-B42-C41+B41))</f>
        <v>8603827.5183420889</v>
      </c>
      <c r="H36" s="70">
        <f>((C36/(C36+C42))-(B36/(B36+B42)))*(C36+C42)</f>
        <v>5924645.1385810906</v>
      </c>
      <c r="I36" s="70">
        <f>(B36/(B36+B42))*(C41-B41)</f>
        <v>-867827.66321544279</v>
      </c>
      <c r="J36" s="70">
        <f>I36+H36+G36</f>
        <v>13660644.993707737</v>
      </c>
    </row>
    <row r="37" spans="1:10" ht="28.8" x14ac:dyDescent="0.3">
      <c r="A37" s="68" t="s">
        <v>114</v>
      </c>
      <c r="B37" s="78">
        <v>14981355</v>
      </c>
      <c r="C37" s="78">
        <v>22476052.391341362</v>
      </c>
      <c r="D37" s="73"/>
      <c r="E37" s="74" t="s">
        <v>117</v>
      </c>
      <c r="F37" s="76">
        <f>F36/$F$36</f>
        <v>1</v>
      </c>
      <c r="G37" s="76">
        <f>G36/$F$36</f>
        <v>0.62982586271037111</v>
      </c>
      <c r="H37" s="76">
        <f>H36/$F$36</f>
        <v>0.43370171330197477</v>
      </c>
      <c r="I37" s="76">
        <f>I36/$F$36</f>
        <v>-6.3527576012346043E-2</v>
      </c>
    </row>
    <row r="38" spans="1:10" ht="28.8" x14ac:dyDescent="0.3">
      <c r="A38" s="68" t="s">
        <v>116</v>
      </c>
      <c r="B38" s="78">
        <v>5922251</v>
      </c>
      <c r="C38" s="78">
        <v>7672566.2957012728</v>
      </c>
      <c r="D38" s="73"/>
      <c r="E38" s="74"/>
      <c r="F38" s="74"/>
      <c r="G38" s="74"/>
    </row>
    <row r="39" spans="1:10" ht="28.8" x14ac:dyDescent="0.3">
      <c r="A39" s="68" t="s">
        <v>118</v>
      </c>
      <c r="B39" s="78">
        <v>1938284</v>
      </c>
      <c r="C39" s="78">
        <v>5468995.1328837415</v>
      </c>
      <c r="D39" s="73"/>
      <c r="E39" s="74"/>
      <c r="F39" s="74"/>
      <c r="G39" s="74"/>
    </row>
    <row r="40" spans="1:10" ht="28.8" x14ac:dyDescent="0.3">
      <c r="A40" s="44" t="s">
        <v>119</v>
      </c>
      <c r="B40" s="80">
        <v>544736</v>
      </c>
      <c r="C40" s="80">
        <v>364357.62164709734</v>
      </c>
      <c r="D40" s="81"/>
      <c r="E40" s="82"/>
      <c r="F40" s="82"/>
      <c r="G40" s="82"/>
      <c r="H40" s="83"/>
      <c r="I40" s="83"/>
      <c r="J40" s="83"/>
    </row>
    <row r="41" spans="1:10" ht="28.8" x14ac:dyDescent="0.3">
      <c r="A41" s="68" t="s">
        <v>120</v>
      </c>
      <c r="B41" s="78">
        <v>8951708</v>
      </c>
      <c r="C41" s="78">
        <v>7681274.674988592</v>
      </c>
      <c r="D41" s="73"/>
      <c r="E41" s="74"/>
      <c r="F41" s="74"/>
      <c r="G41" s="74"/>
    </row>
    <row r="42" spans="1:10" ht="28.8" x14ac:dyDescent="0.3">
      <c r="A42" s="68" t="s">
        <v>121</v>
      </c>
      <c r="B42" s="78">
        <v>10248154</v>
      </c>
      <c r="C42" s="78">
        <v>7912421.1228543278</v>
      </c>
      <c r="D42" s="73"/>
      <c r="E42" s="74"/>
      <c r="F42" s="74"/>
      <c r="G42" s="74"/>
    </row>
    <row r="45" spans="1:10" x14ac:dyDescent="0.3">
      <c r="A45" s="52" t="s">
        <v>1</v>
      </c>
      <c r="B45" s="52">
        <v>2018</v>
      </c>
      <c r="C45" s="52">
        <v>2023</v>
      </c>
    </row>
    <row r="46" spans="1:10" x14ac:dyDescent="0.3">
      <c r="A46" s="68" t="s">
        <v>112</v>
      </c>
      <c r="B46" s="78">
        <v>36124953.280451082</v>
      </c>
      <c r="C46" s="78">
        <v>38798096.717371762</v>
      </c>
      <c r="E46" s="74" t="s">
        <v>126</v>
      </c>
      <c r="F46" s="70">
        <f>C46-B46</f>
        <v>2673143.4369206801</v>
      </c>
      <c r="G46">
        <f>((B46/(B46+B52))*(C46-B46+C52-B52-C51+B51))</f>
        <v>1838407.593588996</v>
      </c>
      <c r="H46" s="70">
        <f>((C46/(C46+C52))-(B46/(B46+B52)))*(C46+C52)</f>
        <v>-1236380.5458758525</v>
      </c>
      <c r="I46" s="70">
        <f>(B46/(B46+B52))*(C51-B51)</f>
        <v>2071116.3892075368</v>
      </c>
      <c r="J46" s="70">
        <f>I46+H46+G46</f>
        <v>2673143.4369206801</v>
      </c>
    </row>
    <row r="47" spans="1:10" ht="28.8" x14ac:dyDescent="0.3">
      <c r="A47" s="68" t="s">
        <v>114</v>
      </c>
      <c r="B47" s="78">
        <v>22695288.047862563</v>
      </c>
      <c r="C47" s="78">
        <v>25463843.074459631</v>
      </c>
      <c r="E47" s="74" t="s">
        <v>117</v>
      </c>
      <c r="F47" s="76">
        <f>F46/$F$46</f>
        <v>1</v>
      </c>
      <c r="G47" s="76">
        <f>G46/$F$46</f>
        <v>0.68773249059419883</v>
      </c>
      <c r="H47" s="76">
        <f>H46/$F$46</f>
        <v>-0.46251934288273638</v>
      </c>
      <c r="I47" s="76">
        <f>I46/$F$46</f>
        <v>0.77478685228853761</v>
      </c>
      <c r="J47" s="37">
        <f>G47+H47+I47</f>
        <v>1</v>
      </c>
    </row>
    <row r="48" spans="1:10" ht="28.8" x14ac:dyDescent="0.3">
      <c r="A48" s="68" t="s">
        <v>116</v>
      </c>
      <c r="B48" s="78">
        <v>7582057.6767948018</v>
      </c>
      <c r="C48" s="78">
        <v>7702124.5796635831</v>
      </c>
    </row>
    <row r="49" spans="1:5" ht="28.8" x14ac:dyDescent="0.3">
      <c r="A49" s="68" t="s">
        <v>118</v>
      </c>
      <c r="B49" s="78">
        <v>5619872.2774939481</v>
      </c>
      <c r="C49" s="78">
        <v>5270186.0688550854</v>
      </c>
    </row>
    <row r="50" spans="1:5" ht="28.8" x14ac:dyDescent="0.3">
      <c r="A50" s="68" t="s">
        <v>119</v>
      </c>
      <c r="B50" s="78">
        <v>560665.50147804269</v>
      </c>
      <c r="C50" s="78">
        <v>309912.57005399041</v>
      </c>
    </row>
    <row r="51" spans="1:5" ht="28.8" x14ac:dyDescent="0.3">
      <c r="A51" s="68" t="s">
        <v>120</v>
      </c>
      <c r="B51" s="78">
        <v>8505212.0865824167</v>
      </c>
      <c r="C51" s="78">
        <v>11083036.989591673</v>
      </c>
    </row>
    <row r="52" spans="1:5" ht="28.8" x14ac:dyDescent="0.3">
      <c r="A52" s="68" t="s">
        <v>121</v>
      </c>
      <c r="B52" s="78">
        <v>8838142.3097606897</v>
      </c>
      <c r="C52" s="78">
        <v>11031006.5652522</v>
      </c>
    </row>
    <row r="56" spans="1:5" ht="15" thickBot="1" x14ac:dyDescent="0.35"/>
    <row r="57" spans="1:5" ht="15" thickBot="1" x14ac:dyDescent="0.35">
      <c r="A57" s="85" t="s">
        <v>127</v>
      </c>
      <c r="B57" s="86" t="s">
        <v>128</v>
      </c>
      <c r="C57" s="87" t="s">
        <v>108</v>
      </c>
      <c r="D57" s="88" t="s">
        <v>109</v>
      </c>
      <c r="E57" s="89" t="s">
        <v>110</v>
      </c>
    </row>
    <row r="58" spans="1:5" x14ac:dyDescent="0.3">
      <c r="A58" s="90" t="s">
        <v>113</v>
      </c>
      <c r="B58" s="91">
        <v>1</v>
      </c>
      <c r="C58" s="92">
        <v>1.0063237794472319</v>
      </c>
      <c r="D58" s="92">
        <v>-0.19207466564664533</v>
      </c>
      <c r="E58" s="93">
        <v>0.18575088619941335</v>
      </c>
    </row>
    <row r="59" spans="1:5" x14ac:dyDescent="0.3">
      <c r="A59" s="94" t="s">
        <v>122</v>
      </c>
      <c r="B59" s="95">
        <v>1</v>
      </c>
      <c r="C59" s="96">
        <v>-2.1812495658573856E-2</v>
      </c>
      <c r="D59" s="96">
        <v>0.59071826327912336</v>
      </c>
      <c r="E59" s="38">
        <v>0.4310942323794506</v>
      </c>
    </row>
    <row r="60" spans="1:5" x14ac:dyDescent="0.3">
      <c r="A60" s="94" t="s">
        <v>123</v>
      </c>
      <c r="B60" s="95">
        <v>1</v>
      </c>
      <c r="C60" s="96">
        <v>1.846568351537815E-2</v>
      </c>
      <c r="D60" s="97">
        <v>2.8108029250943838E-2</v>
      </c>
      <c r="E60" s="98">
        <v>0.95342628723367806</v>
      </c>
    </row>
    <row r="61" spans="1:5" x14ac:dyDescent="0.3">
      <c r="A61" s="99" t="s">
        <v>124</v>
      </c>
      <c r="B61" s="95">
        <v>1</v>
      </c>
      <c r="C61" s="96">
        <v>1.1418759079395151</v>
      </c>
      <c r="D61" s="96">
        <v>-1.6985864085321019</v>
      </c>
      <c r="E61" s="98">
        <v>1.5567105005925868</v>
      </c>
    </row>
    <row r="62" spans="1:5" x14ac:dyDescent="0.3">
      <c r="A62" s="99" t="s">
        <v>125</v>
      </c>
      <c r="B62" s="95">
        <v>1</v>
      </c>
      <c r="C62" s="96">
        <v>0.62982586271037111</v>
      </c>
      <c r="D62" s="96">
        <v>0.43370171330197477</v>
      </c>
      <c r="E62" s="98">
        <v>-6.3527576012346043E-2</v>
      </c>
    </row>
    <row r="63" spans="1:5" ht="15" thickBot="1" x14ac:dyDescent="0.35">
      <c r="A63" s="100" t="s">
        <v>126</v>
      </c>
      <c r="B63" s="101">
        <v>1</v>
      </c>
      <c r="C63" s="102">
        <v>0.68773249059419883</v>
      </c>
      <c r="D63" s="102">
        <v>-0.46251934288273638</v>
      </c>
      <c r="E63" s="103">
        <v>0.77478685228853761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Gini Nac</vt:lpstr>
      <vt:lpstr>Gini_Urb</vt:lpstr>
      <vt:lpstr>Gini_rur</vt:lpstr>
      <vt:lpstr>Brechas salariales</vt:lpstr>
      <vt:lpstr>Crecimiento por deciles</vt:lpstr>
      <vt:lpstr>Gini_ALC</vt:lpstr>
      <vt:lpstr>PIB_Gini</vt:lpstr>
      <vt:lpstr>Impuesto a la renta</vt:lpstr>
      <vt:lpstr>WID_ingreso</vt:lpstr>
      <vt:lpstr>WID_ingreso_ALC</vt:lpstr>
      <vt:lpstr>WID_riqueza</vt:lpstr>
      <vt:lpstr>WID_riqueza_ALC</vt:lpstr>
      <vt:lpstr>Palma_ALC</vt:lpstr>
      <vt:lpstr>ENDI</vt:lpstr>
      <vt:lpstr>Descomposición Keynesiana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Elías  Ponce Jarrín</dc:creator>
  <cp:lastModifiedBy>Santiago Andrés Valdivieso Puertas</cp:lastModifiedBy>
  <dcterms:created xsi:type="dcterms:W3CDTF">2025-10-20T22:38:40Z</dcterms:created>
  <dcterms:modified xsi:type="dcterms:W3CDTF">2025-12-11T16:42:10Z</dcterms:modified>
</cp:coreProperties>
</file>